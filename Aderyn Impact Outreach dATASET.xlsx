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DA Portfolio Project\"/>
    </mc:Choice>
  </mc:AlternateContent>
  <xr:revisionPtr revIDLastSave="0" documentId="8_{4AC753C6-E092-4A94-B858-C7AA855A9F64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aderyn_impact_outreach_dataset" sheetId="1" r:id="rId1"/>
    <sheet name="Clean Data" sheetId="2" r:id="rId2"/>
    <sheet name="Analysis" sheetId="3" r:id="rId3"/>
    <sheet name="Dashboard" sheetId="4" r:id="rId4"/>
    <sheet name="Recommendations" sheetId="5" r:id="rId5"/>
  </sheets>
  <definedNames>
    <definedName name="_xlnm.Print_Area" localSheetId="3">Dashboard!$A$1:$Z$104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7" i="4" l="1"/>
  <c r="AD97" i="4" s="1"/>
  <c r="AC96" i="4"/>
  <c r="AD96" i="4" s="1"/>
  <c r="AC95" i="4"/>
  <c r="AD95" i="4" s="1"/>
  <c r="AC91" i="4"/>
  <c r="AC90" i="4"/>
  <c r="AC89" i="4"/>
  <c r="AC85" i="4"/>
  <c r="AC84" i="4"/>
  <c r="R81" i="4" s="1"/>
  <c r="AC83" i="4"/>
  <c r="AC82" i="4"/>
  <c r="AC78" i="4"/>
  <c r="AD78" i="4" s="1"/>
  <c r="AD77" i="4"/>
  <c r="AC77" i="4"/>
  <c r="AC76" i="4"/>
  <c r="AD76" i="4" s="1"/>
  <c r="AC72" i="4"/>
  <c r="AD72" i="4" s="1"/>
  <c r="AC71" i="4"/>
  <c r="AD71" i="4" s="1"/>
  <c r="AD70" i="4"/>
  <c r="AC70" i="4"/>
  <c r="AC69" i="4"/>
  <c r="AD69" i="4" s="1"/>
  <c r="AC68" i="4"/>
  <c r="AD68" i="4" s="1"/>
  <c r="AE64" i="4"/>
  <c r="AC64" i="4" s="1"/>
  <c r="AD64" i="4"/>
  <c r="AF64" i="4" s="1"/>
  <c r="AE63" i="4"/>
  <c r="AC63" i="4" s="1"/>
  <c r="AD63" i="4"/>
  <c r="AF63" i="4" s="1"/>
  <c r="AE62" i="4"/>
  <c r="AC62" i="4" s="1"/>
  <c r="AD62" i="4"/>
  <c r="AF62" i="4" s="1"/>
  <c r="AE61" i="4"/>
  <c r="AF61" i="4" s="1"/>
  <c r="AD61" i="4"/>
  <c r="AF60" i="4"/>
  <c r="AE60" i="4"/>
  <c r="AD60" i="4"/>
  <c r="AC60" i="4"/>
  <c r="AE59" i="4"/>
  <c r="AC59" i="4" s="1"/>
  <c r="AD59" i="4"/>
  <c r="AF59" i="4" s="1"/>
  <c r="AF58" i="4"/>
  <c r="AE58" i="4"/>
  <c r="AD58" i="4"/>
  <c r="AC58" i="4"/>
  <c r="AD54" i="4"/>
  <c r="AC54" i="4"/>
  <c r="AE54" i="4" s="1"/>
  <c r="AD53" i="4"/>
  <c r="AC53" i="4"/>
  <c r="AE53" i="4" s="1"/>
  <c r="AD52" i="4"/>
  <c r="AE52" i="4" s="1"/>
  <c r="AC52" i="4"/>
  <c r="AE51" i="4"/>
  <c r="AD51" i="4"/>
  <c r="AC51" i="4"/>
  <c r="AE50" i="4"/>
  <c r="AD50" i="4"/>
  <c r="AC50" i="4"/>
  <c r="AE49" i="4"/>
  <c r="AD49" i="4"/>
  <c r="AC49" i="4"/>
  <c r="AD48" i="4"/>
  <c r="B97" i="4" s="1"/>
  <c r="AC48" i="4"/>
  <c r="AE48" i="4" s="1"/>
  <c r="AD47" i="4"/>
  <c r="AC47" i="4"/>
  <c r="AE47" i="4" s="1"/>
  <c r="AD46" i="4"/>
  <c r="AC46" i="4"/>
  <c r="AE46" i="4" s="1"/>
  <c r="AF42" i="4"/>
  <c r="AE42" i="4"/>
  <c r="AD42" i="4"/>
  <c r="AG42" i="4" s="1"/>
  <c r="AH42" i="4" s="1"/>
  <c r="AC42" i="4"/>
  <c r="AF41" i="4"/>
  <c r="AE41" i="4"/>
  <c r="AD41" i="4"/>
  <c r="AG41" i="4" s="1"/>
  <c r="AC41" i="4"/>
  <c r="AH41" i="4" s="1"/>
  <c r="AF40" i="4"/>
  <c r="AE40" i="4"/>
  <c r="AD40" i="4"/>
  <c r="AC40" i="4"/>
  <c r="AG40" i="4" s="1"/>
  <c r="AH40" i="4" s="1"/>
  <c r="AG36" i="4"/>
  <c r="AF36" i="4"/>
  <c r="AE36" i="4"/>
  <c r="AD36" i="4"/>
  <c r="AI36" i="4" s="1"/>
  <c r="AC36" i="4"/>
  <c r="AH36" i="4" s="1"/>
  <c r="AG35" i="4"/>
  <c r="AF35" i="4"/>
  <c r="AE35" i="4"/>
  <c r="AD35" i="4"/>
  <c r="AC35" i="4"/>
  <c r="AH35" i="4" s="1"/>
  <c r="AG34" i="4"/>
  <c r="AF34" i="4"/>
  <c r="AE34" i="4"/>
  <c r="AH34" i="4" s="1"/>
  <c r="AI34" i="4" s="1"/>
  <c r="AD34" i="4"/>
  <c r="AC34" i="4"/>
  <c r="AD30" i="4"/>
  <c r="AC30" i="4"/>
  <c r="AC29" i="4"/>
  <c r="AD29" i="4" s="1"/>
  <c r="AC28" i="4"/>
  <c r="AD28" i="4" s="1"/>
  <c r="AD27" i="4"/>
  <c r="AC27" i="4"/>
  <c r="AC26" i="4"/>
  <c r="AD26" i="4" s="1"/>
  <c r="AE22" i="4"/>
  <c r="AD22" i="4"/>
  <c r="AC22" i="4"/>
  <c r="AE21" i="4"/>
  <c r="AD21" i="4"/>
  <c r="AC21" i="4"/>
  <c r="AE20" i="4"/>
  <c r="AD20" i="4"/>
  <c r="AC20" i="4"/>
  <c r="AE19" i="4"/>
  <c r="AD19" i="4"/>
  <c r="AC19" i="4"/>
  <c r="AE15" i="4"/>
  <c r="AD15" i="4"/>
  <c r="AC15" i="4"/>
  <c r="AD14" i="4"/>
  <c r="AC14" i="4"/>
  <c r="AE14" i="4" s="1"/>
  <c r="AD13" i="4"/>
  <c r="AC13" i="4"/>
  <c r="AE13" i="4" s="1"/>
  <c r="AD12" i="4"/>
  <c r="AC12" i="4"/>
  <c r="AE12" i="4" s="1"/>
  <c r="AD8" i="4"/>
  <c r="AC8" i="4"/>
  <c r="AE8" i="4" s="1"/>
  <c r="AD7" i="4"/>
  <c r="AC7" i="4"/>
  <c r="AE7" i="4" s="1"/>
  <c r="V7" i="4"/>
  <c r="R7" i="4"/>
  <c r="N7" i="4"/>
  <c r="J7" i="4"/>
  <c r="F7" i="4"/>
  <c r="B7" i="4"/>
  <c r="AD6" i="4"/>
  <c r="AC6" i="4"/>
  <c r="AE6" i="4" s="1"/>
  <c r="AD5" i="4"/>
  <c r="AC5" i="4"/>
  <c r="AE5" i="4" s="1"/>
  <c r="V5" i="4"/>
  <c r="R5" i="4"/>
  <c r="N5" i="4"/>
  <c r="J5" i="4"/>
  <c r="F5" i="4"/>
  <c r="B5" i="4"/>
  <c r="AD4" i="4"/>
  <c r="AC4" i="4"/>
  <c r="AE4" i="4" s="1"/>
  <c r="B11" i="4" s="1"/>
  <c r="B82" i="3"/>
  <c r="N45" i="4" l="1"/>
  <c r="B102" i="4"/>
  <c r="J81" i="4"/>
  <c r="B99" i="4"/>
  <c r="N28" i="4"/>
  <c r="B45" i="4"/>
  <c r="B100" i="4"/>
  <c r="AG22" i="4"/>
  <c r="B101" i="4"/>
  <c r="N11" i="4"/>
  <c r="AF20" i="4"/>
  <c r="AG20" i="4" s="1"/>
  <c r="AC61" i="4"/>
  <c r="AF22" i="4"/>
  <c r="B81" i="4"/>
  <c r="AF19" i="4"/>
  <c r="AG19" i="4" s="1"/>
  <c r="B28" i="4" s="1"/>
  <c r="B62" i="4"/>
  <c r="AF21" i="4"/>
  <c r="AG21" i="4" s="1"/>
  <c r="AI35" i="4"/>
  <c r="N62" i="4"/>
  <c r="B98" i="4" l="1"/>
</calcChain>
</file>

<file path=xl/sharedStrings.xml><?xml version="1.0" encoding="utf-8"?>
<sst xmlns="http://schemas.openxmlformats.org/spreadsheetml/2006/main" count="9256" uniqueCount="398">
  <si>
    <t>Participant_ID</t>
  </si>
  <si>
    <t>Age</t>
  </si>
  <si>
    <t>Age_Group</t>
  </si>
  <si>
    <t>Gender</t>
  </si>
  <si>
    <t>Community_Role</t>
  </si>
  <si>
    <t>Language_Spoken</t>
  </si>
  <si>
    <t>English_Proficiency</t>
  </si>
  <si>
    <t>Participant_Type</t>
  </si>
  <si>
    <t>Heard_About_Outreach</t>
  </si>
  <si>
    <t>Information_Source</t>
  </si>
  <si>
    <t>Attendance_Status</t>
  </si>
  <si>
    <t>Arrival_Time</t>
  </si>
  <si>
    <t>Sessions_Attended</t>
  </si>
  <si>
    <t>Programme_Understanding</t>
  </si>
  <si>
    <t>Perceived_Purpose</t>
  </si>
  <si>
    <t>Trust_Level</t>
  </si>
  <si>
    <t>Comfort_Level</t>
  </si>
  <si>
    <t>Participation_Level</t>
  </si>
  <si>
    <t>Feedback_Provided</t>
  </si>
  <si>
    <t>Satisfaction_Score</t>
  </si>
  <si>
    <t>Main_Concern</t>
  </si>
  <si>
    <t>Preferred_Communication_Method</t>
  </si>
  <si>
    <t>Would_Attend_Follow_Up</t>
  </si>
  <si>
    <t>Follow_Up_Preference</t>
  </si>
  <si>
    <t>Key_Feedback</t>
  </si>
  <si>
    <t>AII-001</t>
  </si>
  <si>
    <t>13â€“19</t>
  </si>
  <si>
    <t>Female</t>
  </si>
  <si>
    <t>Community member</t>
  </si>
  <si>
    <t>Adara</t>
  </si>
  <si>
    <t>Basic</t>
  </si>
  <si>
    <t>Girl</t>
  </si>
  <si>
    <t>Yes</t>
  </si>
  <si>
    <t>Village/community leader</t>
  </si>
  <si>
    <t>Attended</t>
  </si>
  <si>
    <t>More than 30 minutes late</t>
  </si>
  <si>
    <t>Clear</t>
  </si>
  <si>
    <t>Women   health, education and support services</t>
  </si>
  <si>
    <t>Very high</t>
  </si>
  <si>
    <t>Very comfortable</t>
  </si>
  <si>
    <t>Contributed to discussion</t>
  </si>
  <si>
    <t>Need for elder engagement</t>
  </si>
  <si>
    <t>Local-language community meeting</t>
  </si>
  <si>
    <t>Meet village elders and gatekeepers before inviting participants.</t>
  </si>
  <si>
    <t>AII-002</t>
  </si>
  <si>
    <t>40â€“49</t>
  </si>
  <si>
    <t>English</t>
  </si>
  <si>
    <t>Conversational</t>
  </si>
  <si>
    <t>Adult woman</t>
  </si>
  <si>
    <t>Family member</t>
  </si>
  <si>
    <t>On time</t>
  </si>
  <si>
    <t>Low</t>
  </si>
  <si>
    <t>Neutral</t>
  </si>
  <si>
    <t>Asked one question</t>
  </si>
  <si>
    <t>AII-003</t>
  </si>
  <si>
    <t>Adolescent participant</t>
  </si>
  <si>
    <t>Gbagyi</t>
  </si>
  <si>
    <t>Teacher/school contact</t>
  </si>
  <si>
    <t>High</t>
  </si>
  <si>
    <t>Comfortable</t>
  </si>
  <si>
    <t>Need for clearer purpose explanation</t>
  </si>
  <si>
    <t>State clearly that the outreach is for health, education and referral information.</t>
  </si>
  <si>
    <t>AII-004</t>
  </si>
  <si>
    <t>50+</t>
  </si>
  <si>
    <t>Moderate</t>
  </si>
  <si>
    <t>Uncomfortable</t>
  </si>
  <si>
    <t>AII-005</t>
  </si>
  <si>
    <t>30â€“39</t>
  </si>
  <si>
    <t>Hausa</t>
  </si>
  <si>
    <t>Religious/community announcement</t>
  </si>
  <si>
    <t>Actively engaged</t>
  </si>
  <si>
    <t>AII-006</t>
  </si>
  <si>
    <t>Fluent</t>
  </si>
  <si>
    <t>Women   group representative</t>
  </si>
  <si>
    <t>No</t>
  </si>
  <si>
    <t>Maybe</t>
  </si>
  <si>
    <t>No feedback recorded.</t>
  </si>
  <si>
    <t>AII-007</t>
  </si>
  <si>
    <t>Parent/guardian</t>
  </si>
  <si>
    <t>Field team invitation</t>
  </si>
  <si>
    <t>Did not attend</t>
  </si>
  <si>
    <t>Not assessed</t>
  </si>
  <si>
    <t>Not rated</t>
  </si>
  <si>
    <t>Concern about programme purpose</t>
  </si>
  <si>
    <t>Women   group meeting</t>
  </si>
  <si>
    <t>Explain the purpose clearly to community leaders first.</t>
  </si>
  <si>
    <t>AII-008</t>
  </si>
  <si>
    <t>None</t>
  </si>
  <si>
    <t>Partial</t>
  </si>
  <si>
    <t>Unclear; possibly external influence</t>
  </si>
  <si>
    <t>Language barrier</t>
  </si>
  <si>
    <t>AII-009</t>
  </si>
  <si>
    <t>Friend/neighbour</t>
  </si>
  <si>
    <t>Limited</t>
  </si>
  <si>
    <t>Very uncomfortable</t>
  </si>
  <si>
    <t>AII-010</t>
  </si>
  <si>
    <t>Not applicable</t>
  </si>
  <si>
    <t>Did not hear about programme</t>
  </si>
  <si>
    <t>School-based session</t>
  </si>
  <si>
    <t>Use community announcements and local networks earlier.</t>
  </si>
  <si>
    <t>AII-011</t>
  </si>
  <si>
    <t>Observed only</t>
  </si>
  <si>
    <t>AII-012</t>
  </si>
  <si>
    <t>15â€“30 minutes late</t>
  </si>
  <si>
    <t>Women   health and education</t>
  </si>
  <si>
    <t>AII-013</t>
  </si>
  <si>
    <t>20â€“29</t>
  </si>
  <si>
    <t>Young woman</t>
  </si>
  <si>
    <t>Use an Adara/Hausa interpreter and explain each topic slowly.</t>
  </si>
  <si>
    <t>AII-014</t>
  </si>
  <si>
    <t>Household/time constraints</t>
  </si>
  <si>
    <t>Choose a time that does not conflict with household responsibilities.</t>
  </si>
  <si>
    <t>AII-015</t>
  </si>
  <si>
    <t>AII-016</t>
  </si>
  <si>
    <t>Home/compound visit</t>
  </si>
  <si>
    <t>AII-017</t>
  </si>
  <si>
    <t>Listened quietly</t>
  </si>
  <si>
    <t>AII-018</t>
  </si>
  <si>
    <t>Teacher</t>
  </si>
  <si>
    <t>Community stakeholder</t>
  </si>
  <si>
    <t>AII-019</t>
  </si>
  <si>
    <t>No major concern</t>
  </si>
  <si>
    <t>The team was respectful; repeat the session with local support.</t>
  </si>
  <si>
    <t>AII-020</t>
  </si>
  <si>
    <t>Use a trusted local-language interpreter.</t>
  </si>
  <si>
    <t>AII-021</t>
  </si>
  <si>
    <t>Health talk only</t>
  </si>
  <si>
    <t>Very low</t>
  </si>
  <si>
    <t>AII-022</t>
  </si>
  <si>
    <t>AII-023</t>
  </si>
  <si>
    <t>AII-024</t>
  </si>
  <si>
    <t>AII-025</t>
  </si>
  <si>
    <t>Radio announcement</t>
  </si>
  <si>
    <t>AII-026</t>
  </si>
  <si>
    <t>AII-027</t>
  </si>
  <si>
    <t>Hold the next meeting after household chores and give advance notice.</t>
  </si>
  <si>
    <t>AII-028</t>
  </si>
  <si>
    <t>AII-029</t>
  </si>
  <si>
    <t>AII-030</t>
  </si>
  <si>
    <t>AII-031</t>
  </si>
  <si>
    <t>AII-032</t>
  </si>
  <si>
    <t>AII-033</t>
  </si>
  <si>
    <t>Unsure why women and girls were invited</t>
  </si>
  <si>
    <t>AII-034</t>
  </si>
  <si>
    <t>AII-035</t>
  </si>
  <si>
    <t>AII-036</t>
  </si>
  <si>
    <t>AII-037</t>
  </si>
  <si>
    <t>Insufficient prior information</t>
  </si>
  <si>
    <t>Share information through elders and women leaders before the event.</t>
  </si>
  <si>
    <t>AII-038</t>
  </si>
  <si>
    <t>AII-039</t>
  </si>
  <si>
    <t>AII-040</t>
  </si>
  <si>
    <t>AII-041</t>
  </si>
  <si>
    <t>AII-042</t>
  </si>
  <si>
    <t>AII-043</t>
  </si>
  <si>
    <t>AII-044</t>
  </si>
  <si>
    <t>AII-045</t>
  </si>
  <si>
    <t>AII-046</t>
  </si>
  <si>
    <t>AII-047</t>
  </si>
  <si>
    <t>AII-048</t>
  </si>
  <si>
    <t>AII-049</t>
  </si>
  <si>
    <t>AII-050</t>
  </si>
  <si>
    <t>AII-051</t>
  </si>
  <si>
    <t>AII-052</t>
  </si>
  <si>
    <t>AII-053</t>
  </si>
  <si>
    <t>AII-054</t>
  </si>
  <si>
    <t>AII-055</t>
  </si>
  <si>
    <t>AII-056</t>
  </si>
  <si>
    <t>Limited time for questions</t>
  </si>
  <si>
    <t>Allow more time for questions and small-group discussion.</t>
  </si>
  <si>
    <t>AII-057</t>
  </si>
  <si>
    <t>AII-058</t>
  </si>
  <si>
    <t>AII-059</t>
  </si>
  <si>
    <t>AII-060</t>
  </si>
  <si>
    <t>AII-061</t>
  </si>
  <si>
    <t>AII-062</t>
  </si>
  <si>
    <t>AII-063</t>
  </si>
  <si>
    <t>AII-064</t>
  </si>
  <si>
    <t>AII-065</t>
  </si>
  <si>
    <t>AII-066</t>
  </si>
  <si>
    <t>AII-067</t>
  </si>
  <si>
    <t>Fulfulde</t>
  </si>
  <si>
    <t>AII-068</t>
  </si>
  <si>
    <t>AII-069</t>
  </si>
  <si>
    <t>AII-070</t>
  </si>
  <si>
    <t>AII-071</t>
  </si>
  <si>
    <t>AII-072</t>
  </si>
  <si>
    <t>AII-073</t>
  </si>
  <si>
    <t>AII-074</t>
  </si>
  <si>
    <t>AII-075</t>
  </si>
  <si>
    <t>AII-076</t>
  </si>
  <si>
    <t>AII-077</t>
  </si>
  <si>
    <t>AII-078</t>
  </si>
  <si>
    <t>AII-079</t>
  </si>
  <si>
    <t>AII-080</t>
  </si>
  <si>
    <t>AII-081</t>
  </si>
  <si>
    <t>AII-082</t>
  </si>
  <si>
    <t>AII-083</t>
  </si>
  <si>
    <t>AII-084</t>
  </si>
  <si>
    <t>AII-085</t>
  </si>
  <si>
    <t>AII-086</t>
  </si>
  <si>
    <t>AII-087</t>
  </si>
  <si>
    <t>AII-088</t>
  </si>
  <si>
    <t>AII-089</t>
  </si>
  <si>
    <t>AII-090</t>
  </si>
  <si>
    <t>AII-091</t>
  </si>
  <si>
    <t>AII-092</t>
  </si>
  <si>
    <t>AII-093</t>
  </si>
  <si>
    <t>AII-094</t>
  </si>
  <si>
    <t>AII-095</t>
  </si>
  <si>
    <t>AII-096</t>
  </si>
  <si>
    <t>AII-097</t>
  </si>
  <si>
    <t>AII-098</t>
  </si>
  <si>
    <t>AII-099</t>
  </si>
  <si>
    <t>AII-100</t>
  </si>
  <si>
    <t>AII-101</t>
  </si>
  <si>
    <t>AII-102</t>
  </si>
  <si>
    <t>AII-103</t>
  </si>
  <si>
    <t>AII-104</t>
  </si>
  <si>
    <t>AII-105</t>
  </si>
  <si>
    <t>AII-106</t>
  </si>
  <si>
    <t>AII-107</t>
  </si>
  <si>
    <t>AII-108</t>
  </si>
  <si>
    <t>AII-109</t>
  </si>
  <si>
    <t>AII-110</t>
  </si>
  <si>
    <t>AII-111</t>
  </si>
  <si>
    <t>AII-112</t>
  </si>
  <si>
    <t>AII-113</t>
  </si>
  <si>
    <t>AII-114</t>
  </si>
  <si>
    <t>AII-115</t>
  </si>
  <si>
    <t>AII-116</t>
  </si>
  <si>
    <t>AII-117</t>
  </si>
  <si>
    <t>AII-118</t>
  </si>
  <si>
    <t>AII-119</t>
  </si>
  <si>
    <t>AII-120</t>
  </si>
  <si>
    <t>AII-121</t>
  </si>
  <si>
    <t>AII-122</t>
  </si>
  <si>
    <t>AII-123</t>
  </si>
  <si>
    <t>AII-124</t>
  </si>
  <si>
    <t>AII-125</t>
  </si>
  <si>
    <t>AII-126</t>
  </si>
  <si>
    <t>AII-127</t>
  </si>
  <si>
    <t>AII-128</t>
  </si>
  <si>
    <t>AII-129</t>
  </si>
  <si>
    <t>AII-130</t>
  </si>
  <si>
    <t>AII-131</t>
  </si>
  <si>
    <t>AII-132</t>
  </si>
  <si>
    <t>AII-133</t>
  </si>
  <si>
    <t>AII-134</t>
  </si>
  <si>
    <t>AII-135</t>
  </si>
  <si>
    <t>AII-136</t>
  </si>
  <si>
    <t>AII-137</t>
  </si>
  <si>
    <t>AII-138</t>
  </si>
  <si>
    <t>AII-139</t>
  </si>
  <si>
    <t>AII-140</t>
  </si>
  <si>
    <t>AII-141</t>
  </si>
  <si>
    <t>AII-142</t>
  </si>
  <si>
    <t>AII-143</t>
  </si>
  <si>
    <t>AII-144</t>
  </si>
  <si>
    <t>AII-145</t>
  </si>
  <si>
    <t>AII-146</t>
  </si>
  <si>
    <t>AII-147</t>
  </si>
  <si>
    <t>AII-148</t>
  </si>
  <si>
    <t>AII-149</t>
  </si>
  <si>
    <t>AII-150</t>
  </si>
  <si>
    <t>AII-151</t>
  </si>
  <si>
    <t>AII-152</t>
  </si>
  <si>
    <t>AII-153</t>
  </si>
  <si>
    <t>AII-154</t>
  </si>
  <si>
    <t>AII-155</t>
  </si>
  <si>
    <t>AII-156</t>
  </si>
  <si>
    <t>AII-157</t>
  </si>
  <si>
    <t>AII-158</t>
  </si>
  <si>
    <t>AII-159</t>
  </si>
  <si>
    <t>AII-160</t>
  </si>
  <si>
    <t>AII-161</t>
  </si>
  <si>
    <t>AII-162</t>
  </si>
  <si>
    <t>AII-163</t>
  </si>
  <si>
    <t>AII-164</t>
  </si>
  <si>
    <t>AII-165</t>
  </si>
  <si>
    <t>AII-166</t>
  </si>
  <si>
    <t>AII-167</t>
  </si>
  <si>
    <t>AII-168</t>
  </si>
  <si>
    <t>AII-169</t>
  </si>
  <si>
    <t>AII-170</t>
  </si>
  <si>
    <t>AII-171</t>
  </si>
  <si>
    <t>AII-172</t>
  </si>
  <si>
    <t>AII-173</t>
  </si>
  <si>
    <t>AII-174</t>
  </si>
  <si>
    <t>AII-175</t>
  </si>
  <si>
    <t>AII-176</t>
  </si>
  <si>
    <t>AII-177</t>
  </si>
  <si>
    <t>AII-178</t>
  </si>
  <si>
    <t>AII-179</t>
  </si>
  <si>
    <t>AII-180</t>
  </si>
  <si>
    <t>AII-181</t>
  </si>
  <si>
    <t>AII-182</t>
  </si>
  <si>
    <t>AII-183</t>
  </si>
  <si>
    <t>AII-184</t>
  </si>
  <si>
    <t>AII-185</t>
  </si>
  <si>
    <t>AII-186</t>
  </si>
  <si>
    <t>AII-187</t>
  </si>
  <si>
    <t>AII-188</t>
  </si>
  <si>
    <t>AII-189</t>
  </si>
  <si>
    <t>AII-190</t>
  </si>
  <si>
    <t>AII-191</t>
  </si>
  <si>
    <t>AII-192</t>
  </si>
  <si>
    <t>AII-193</t>
  </si>
  <si>
    <t>AII-194</t>
  </si>
  <si>
    <t>AII-195</t>
  </si>
  <si>
    <t>AII-196</t>
  </si>
  <si>
    <t>AII-197</t>
  </si>
  <si>
    <t>AII-198</t>
  </si>
  <si>
    <t>AII-199</t>
  </si>
  <si>
    <t>AII-200</t>
  </si>
  <si>
    <t>13 - 19</t>
  </si>
  <si>
    <t>40 - 49</t>
  </si>
  <si>
    <t>30 - 39</t>
  </si>
  <si>
    <t>15 - 30 minutes late</t>
  </si>
  <si>
    <t>20 - 29</t>
  </si>
  <si>
    <t>Which age groups did the outreach actually reach?</t>
  </si>
  <si>
    <t>Attendance by Age group</t>
  </si>
  <si>
    <t>Grand Total</t>
  </si>
  <si>
    <t>Did language ability affect how well participants understood the programme?</t>
  </si>
  <si>
    <t>Which participant groups did the outreach successfully reach, and which groups were missed?</t>
  </si>
  <si>
    <t>Participation Groups</t>
  </si>
  <si>
    <t>Is there a relationship between understanding the programme and trusting the organisation?</t>
  </si>
  <si>
    <t xml:space="preserve"> Total</t>
  </si>
  <si>
    <t>Clear Total</t>
  </si>
  <si>
    <t>Limited Total</t>
  </si>
  <si>
    <t>Not assessed Total</t>
  </si>
  <si>
    <t>Partial Total</t>
  </si>
  <si>
    <t>Main Concerns</t>
  </si>
  <si>
    <t>Follow up Willingness</t>
  </si>
  <si>
    <t>COUNTA of Participant_ID</t>
  </si>
  <si>
    <t>Preferred Mode of communication</t>
  </si>
  <si>
    <t>Satisfaction by Participant Type</t>
  </si>
  <si>
    <t>AVERAGE of Satisfaction_Score</t>
  </si>
  <si>
    <t>Aderyn Impact Initiative  ·  Kallah Outreach Performance Dashboard</t>
  </si>
  <si>
    <t>CHART DATA — formulas on Clean Data; feeds the dashboard (do not delete)</t>
  </si>
  <si>
    <t>Why was engagement limited, and what must change before AII returns?  Women &amp; girls outreach, Kallah, Kajuru LGA, Kaduna State  ·  n = 200 participants</t>
  </si>
  <si>
    <t>Attendance by age group</t>
  </si>
  <si>
    <t>Attendance rate</t>
  </si>
  <si>
    <t>PARTICIPANTS SURVEYED</t>
  </si>
  <si>
    <t>ATTENDANCE RATE</t>
  </si>
  <si>
    <t>CLEAR UNDERSTANDING</t>
  </si>
  <si>
    <t>HIGH / VERY HIGH TRUST</t>
  </si>
  <si>
    <t>AVG. SATISFACTION</t>
  </si>
  <si>
    <t>WOULD ATTEND FOLLOW-UP</t>
  </si>
  <si>
    <t>1 · REACH — Who did the outreach actually reach, and who was missed?</t>
  </si>
  <si>
    <t>Attendance by participant group</t>
  </si>
  <si>
    <t>Attendance by participant type</t>
  </si>
  <si>
    <t>Understanding by English proficiency (attendees)</t>
  </si>
  <si>
    <t>Attendees</t>
  </si>
  <si>
    <t>% clear</t>
  </si>
  <si>
    <t>Perceived purpose of the outreach (attendees)</t>
  </si>
  <si>
    <t>% of attendees</t>
  </si>
  <si>
    <t>2 · LANGUAGE &amp; CLARITY — Did language ability affect how well the programme was understood?</t>
  </si>
  <si>
    <t>Women’s health, education &amp; support services</t>
  </si>
  <si>
    <t>Programme understanding by English proficiency (attendees)</t>
  </si>
  <si>
    <t>What did attendees think the outreach was for?</t>
  </si>
  <si>
    <t>Women’s health and education</t>
  </si>
  <si>
    <t>Unsure why women/girls were invited</t>
  </si>
  <si>
    <t>Trust level by programme understanding (attendees)</t>
  </si>
  <si>
    <t>% high / very high</t>
  </si>
  <si>
    <t>Participation by trust group (attendees)</t>
  </si>
  <si>
    <t>Actively engaged / contributed</t>
  </si>
  <si>
    <t>% active</t>
  </si>
  <si>
    <t>High / very high trust</t>
  </si>
  <si>
    <t>Moderate trust</t>
  </si>
  <si>
    <t>Low / very low trust</t>
  </si>
  <si>
    <t>3 · UNDERSTANDING → TRUST → PARTICIPATION — Did understanding the programme build trust and engagement?</t>
  </si>
  <si>
    <t>Participation level by trust (attendees)</t>
  </si>
  <si>
    <t>Main concern — attendees vs non-attendees</t>
  </si>
  <si>
    <t>Total</t>
  </si>
  <si>
    <t>Attendance rate by how people heard (invited via)</t>
  </si>
  <si>
    <t>Chart label</t>
  </si>
  <si>
    <t>Heard via</t>
  </si>
  <si>
    <t>4 · BARRIERS — Why was engagement limited, and which communication channels worked?</t>
  </si>
  <si>
    <t>Women’s group representative</t>
  </si>
  <si>
    <t>Main concern raised (attendees vs non-attendees)</t>
  </si>
  <si>
    <t>Attendance rate by how people heard about the outreach</t>
  </si>
  <si>
    <t>Preferred communication method (all 200)</t>
  </si>
  <si>
    <t>Respondents</t>
  </si>
  <si>
    <t>Share</t>
  </si>
  <si>
    <t>Women’s group meeting</t>
  </si>
  <si>
    <t>Would attend follow-up</t>
  </si>
  <si>
    <t>5 · REDESIGN — How should AII return so the next intervention is understood and trusted?</t>
  </si>
  <si>
    <t>Preferred way to be reached</t>
  </si>
  <si>
    <t>Would attend a follow-up?</t>
  </si>
  <si>
    <t>Avg. satisfaction (1–5) by participant type</t>
  </si>
  <si>
    <t>Average satisfaction (1–5) by participant type (attendees)</t>
  </si>
  <si>
    <t>Avg score</t>
  </si>
  <si>
    <t>Average satisfaction by programme understanding</t>
  </si>
  <si>
    <t>Would attend follow-up (Yes) by understanding</t>
  </si>
  <si>
    <t>% yes</t>
  </si>
  <si>
    <t>KEY TAKEAWAYS FOR THE RETURN VISIT (update automatically with the data)</t>
  </si>
  <si>
    <t>Source: Clean Data tab (aderyn_impact_outreach_dataset), n = 200. Understanding, trust, participation and satisfaction were recorded for attendees only (130). Chart data sits to the right (column AB onward).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</si>
</sst>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charset val="1"/>
    </font>
    <font>
      <sz val="9"/>
      <color rgb="FFFFFFFF"/>
      <name val="Calibri"/>
      <charset val="1"/>
    </font>
    <font>
      <sz val="9"/>
      <color theme="1"/>
      <name val="Calibri"/>
      <charset val="1"/>
    </font>
    <font>
      <b/>
      <sz val="11"/>
      <color rgb="FFFFFFFF"/>
      <name val="Calibri"/>
      <charset val="1"/>
    </font>
    <font>
      <b/>
      <sz val="20"/>
      <color rgb="FFFFFFFF"/>
      <name val="Calibri"/>
      <charset val="1"/>
    </font>
    <font>
      <b/>
      <sz val="10"/>
      <color rgb="FF0E4638"/>
      <name val="Calibri"/>
      <charset val="1"/>
    </font>
    <font>
      <sz val="10"/>
      <color rgb="FFD9E8E1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b/>
      <sz val="8"/>
      <color rgb="FF5F6B66"/>
      <name val="Calibri"/>
      <charset val="1"/>
    </font>
    <font>
      <sz val="9"/>
      <name val="Calibri"/>
      <charset val="1"/>
    </font>
    <font>
      <b/>
      <sz val="26"/>
      <color rgb="FF0E4638"/>
      <name val="Calibri"/>
      <charset val="1"/>
    </font>
    <font>
      <b/>
      <sz val="26"/>
      <color rgb="FF2E7D5B"/>
      <name val="Calibri"/>
      <charset val="1"/>
    </font>
    <font>
      <b/>
      <sz val="26"/>
      <color rgb="FFB23A3A"/>
      <name val="Calibri"/>
      <charset val="1"/>
    </font>
    <font>
      <b/>
      <sz val="26"/>
      <color rgb="FFE07B39"/>
      <name val="Calibri"/>
      <charset val="1"/>
    </font>
    <font>
      <b/>
      <sz val="26"/>
      <color rgb="FFB7791F"/>
      <name val="Calibri"/>
      <charset val="1"/>
    </font>
    <font>
      <sz val="9"/>
      <color rgb="FF5F6B66"/>
      <name val="Calibri"/>
      <charset val="1"/>
    </font>
    <font>
      <b/>
      <sz val="12"/>
      <color rgb="FF0E4638"/>
      <name val="Calibri"/>
      <charset val="1"/>
    </font>
    <font>
      <b/>
      <sz val="11"/>
      <color rgb="FF0E4638"/>
      <name val="Calibri"/>
      <charset val="1"/>
    </font>
    <font>
      <i/>
      <sz val="9"/>
      <color rgb="FF5F6B66"/>
      <name val="Calibri"/>
      <charset val="1"/>
    </font>
    <font>
      <sz val="10"/>
      <color rgb="FF1F2D28"/>
      <name val="Calibri"/>
      <charset val="1"/>
    </font>
    <font>
      <i/>
      <sz val="8"/>
      <color rgb="FF5F6B66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E4638"/>
        <bgColor rgb="FF1F2D28"/>
      </patternFill>
    </fill>
    <fill>
      <patternFill patternType="solid">
        <fgColor rgb="FFF55900"/>
        <bgColor rgb="FFE07B39"/>
      </patternFill>
    </fill>
    <fill>
      <patternFill patternType="solid">
        <fgColor rgb="FFFF0000"/>
        <bgColor rgb="FFCC0000"/>
      </patternFill>
    </fill>
    <fill>
      <patternFill patternType="solid">
        <fgColor rgb="FF2E7D5B"/>
        <bgColor rgb="FF008080"/>
      </patternFill>
    </fill>
    <fill>
      <patternFill patternType="solid">
        <fgColor rgb="FFE4EFE9"/>
        <bgColor rgb="FFE3EAE6"/>
      </patternFill>
    </fill>
    <fill>
      <patternFill patternType="solid">
        <fgColor rgb="FFF1F6F3"/>
        <bgColor rgb="FFF7FAF8"/>
      </patternFill>
    </fill>
    <fill>
      <patternFill patternType="solid">
        <fgColor rgb="FFD9E8E1"/>
        <bgColor rgb="FFE3EAE6"/>
      </patternFill>
    </fill>
    <fill>
      <patternFill patternType="solid">
        <fgColor rgb="FFF7FAF8"/>
        <bgColor rgb="FFF1F6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9" fillId="0" borderId="0" xfId="0" applyFont="1" applyAlignment="1">
      <alignment vertical="top" wrapText="1"/>
    </xf>
    <xf numFmtId="0" fontId="18" fillId="0" borderId="0" xfId="0" applyFont="1"/>
    <xf numFmtId="0" fontId="17" fillId="9" borderId="0" xfId="0" applyFont="1" applyFill="1" applyAlignment="1">
      <alignment vertical="center" indent="1"/>
    </xf>
    <xf numFmtId="0" fontId="16" fillId="8" borderId="0" xfId="0" applyFont="1" applyFill="1" applyAlignment="1">
      <alignment horizontal="left" vertical="center" indent="1"/>
    </xf>
    <xf numFmtId="9" fontId="15" fillId="8" borderId="0" xfId="0" applyNumberFormat="1" applyFont="1" applyFill="1" applyAlignment="1">
      <alignment horizontal="left" vertical="center" indent="1"/>
    </xf>
    <xf numFmtId="164" fontId="14" fillId="8" borderId="0" xfId="0" applyNumberFormat="1" applyFont="1" applyFill="1" applyAlignment="1">
      <alignment horizontal="left" vertical="center" indent="1"/>
    </xf>
    <xf numFmtId="9" fontId="13" fillId="8" borderId="0" xfId="0" applyNumberFormat="1" applyFont="1" applyFill="1" applyAlignment="1">
      <alignment horizontal="left" vertical="center" indent="1"/>
    </xf>
    <xf numFmtId="9" fontId="12" fillId="8" borderId="0" xfId="0" applyNumberFormat="1" applyFont="1" applyFill="1" applyAlignment="1">
      <alignment horizontal="left" vertical="center" indent="1"/>
    </xf>
    <xf numFmtId="1" fontId="11" fillId="8" borderId="0" xfId="0" applyNumberFormat="1" applyFont="1" applyFill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4" borderId="0" xfId="0" applyFont="1" applyFill="1"/>
    <xf numFmtId="0" fontId="3" fillId="5" borderId="0" xfId="0" applyFont="1" applyFill="1"/>
    <xf numFmtId="0" fontId="3" fillId="4" borderId="0" xfId="0" applyFont="1" applyFill="1" applyAlignment="1">
      <alignment wrapText="1"/>
    </xf>
    <xf numFmtId="0" fontId="5" fillId="0" borderId="0" xfId="0" applyFont="1"/>
    <xf numFmtId="0" fontId="7" fillId="6" borderId="0" xfId="0" applyFont="1" applyFill="1"/>
    <xf numFmtId="0" fontId="0" fillId="6" borderId="0" xfId="0" applyFill="1"/>
    <xf numFmtId="0" fontId="0" fillId="7" borderId="0" xfId="0" applyFill="1"/>
    <xf numFmtId="0" fontId="8" fillId="7" borderId="0" xfId="0" applyFont="1" applyFill="1" applyAlignment="1">
      <alignment horizontal="center" wrapText="1"/>
    </xf>
    <xf numFmtId="0" fontId="10" fillId="0" borderId="0" xfId="0" applyFont="1"/>
    <xf numFmtId="9" fontId="10" fillId="0" borderId="0" xfId="0" applyNumberFormat="1" applyFont="1"/>
    <xf numFmtId="164" fontId="10" fillId="0" borderId="0" xfId="0" applyNumberFormat="1" applyFont="1"/>
    <xf numFmtId="0" fontId="20" fillId="10" borderId="0" xfId="0" applyFont="1" applyFill="1" applyAlignment="1">
      <alignment vertical="center" wrapText="1" indent="1"/>
    </xf>
    <xf numFmtId="0" fontId="2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1F1F"/>
      <rgbColor rgb="FF008000"/>
      <rgbColor rgb="FF000080"/>
      <rgbColor rgb="FFB7791F"/>
      <rgbColor rgb="FF800080"/>
      <rgbColor rgb="FF008080"/>
      <rgbColor rgb="FFC9D3CE"/>
      <rgbColor rgb="FF7A8782"/>
      <rgbColor rgb="FF9999FF"/>
      <rgbColor rgb="FFB23A3A"/>
      <rgbColor rgb="FFF7FAF8"/>
      <rgbColor rgb="FFE4EFE9"/>
      <rgbColor rgb="FF660066"/>
      <rgbColor rgb="FFE07B39"/>
      <rgbColor rgb="FF1155CC"/>
      <rgbColor rgb="FFD0DAD5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F1F6F3"/>
      <rgbColor rgb="FFD9E8E1"/>
      <rgbColor rgb="FFE3EAE6"/>
      <rgbColor rgb="FF8FBF9F"/>
      <rgbColor rgb="FFD9A3A3"/>
      <rgbColor rgb="FFCC99FF"/>
      <rgbColor rgb="FFFFCC99"/>
      <rgbColor rgb="FF4472C4"/>
      <rgbColor rgb="FF33CCCC"/>
      <rgbColor rgb="FF99CC00"/>
      <rgbColor rgb="FFE9B44C"/>
      <rgbColor rgb="FFFF9900"/>
      <rgbColor rgb="FFF55900"/>
      <rgbColor rgb="FF5F6B66"/>
      <rgbColor rgb="FF6FAE8A"/>
      <rgbColor rgb="FF0E4638"/>
      <rgbColor rgb="FF2E7D5B"/>
      <rgbColor rgb="FF003300"/>
      <rgbColor rgb="FF3B2A00"/>
      <rgbColor rgb="FF993300"/>
      <rgbColor rgb="FF993366"/>
      <rgbColor rgb="FF3B4A44"/>
      <rgbColor rgb="FF1F2D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Attended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Dashboard!$AB$4:$AB$8</c:f>
              <c:strCache>
                <c:ptCount val="5"/>
                <c:pt idx="0">
                  <c:v>13 - 19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50+</c:v>
                </c:pt>
              </c:strCache>
            </c:strRef>
          </c:cat>
          <c:val>
            <c:numRef>
              <c:f>Dashboard!$AC$4:$AC$8</c:f>
              <c:numCache>
                <c:formatCode>General</c:formatCode>
                <c:ptCount val="5"/>
                <c:pt idx="0">
                  <c:v>49</c:v>
                </c:pt>
                <c:pt idx="1">
                  <c:v>15</c:v>
                </c:pt>
                <c:pt idx="2">
                  <c:v>21</c:v>
                </c:pt>
                <c:pt idx="3">
                  <c:v>25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D-4F0F-A0B5-9D08DA44EBD0}"/>
            </c:ext>
          </c:extLst>
        </c:ser>
        <c:ser>
          <c:idx val="1"/>
          <c:order val="1"/>
          <c:tx>
            <c:v>Did not attend</c:v>
          </c:tx>
          <c:spPr>
            <a:solidFill>
              <a:srgbClr val="D9A3A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5A1F1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Dashboard!$AB$4:$AB$8</c:f>
              <c:strCache>
                <c:ptCount val="5"/>
                <c:pt idx="0">
                  <c:v>13 - 19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50+</c:v>
                </c:pt>
              </c:strCache>
            </c:strRef>
          </c:cat>
          <c:val>
            <c:numRef>
              <c:f>Dashboard!$AD$4:$AD$8</c:f>
              <c:numCache>
                <c:formatCode>General</c:formatCode>
                <c:ptCount val="5"/>
                <c:pt idx="0">
                  <c:v>23</c:v>
                </c:pt>
                <c:pt idx="1">
                  <c:v>7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D-4F0F-A0B5-9D08DA44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5820885"/>
        <c:axId val="19851961"/>
      </c:barChart>
      <c:catAx>
        <c:axId val="45820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19851961"/>
        <c:crosses val="autoZero"/>
        <c:auto val="1"/>
        <c:lblAlgn val="ctr"/>
        <c:lblOffset val="100"/>
        <c:noMultiLvlLbl val="0"/>
      </c:catAx>
      <c:valAx>
        <c:axId val="19851961"/>
        <c:scaling>
          <c:orientation val="minMax"/>
        </c:scaling>
        <c:delete val="0"/>
        <c:axPos val="l"/>
        <c:majorGridlines>
          <c:spPr>
            <a:ln w="6480">
              <a:solidFill>
                <a:srgbClr val="E3EA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7A8782"/>
                </a:solidFill>
                <a:latin typeface="Calibri"/>
                <a:ea typeface="Calibri"/>
              </a:defRPr>
            </a:pPr>
            <a:endParaRPr lang="en-US"/>
          </a:p>
        </c:txPr>
        <c:crossAx val="45820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Attended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Dashboard!$AB$12:$AB$15</c:f>
              <c:strCache>
                <c:ptCount val="4"/>
                <c:pt idx="0">
                  <c:v>Adult woman</c:v>
                </c:pt>
                <c:pt idx="1">
                  <c:v>Young woman</c:v>
                </c:pt>
                <c:pt idx="2">
                  <c:v>Girl</c:v>
                </c:pt>
                <c:pt idx="3">
                  <c:v>Community stakeholder</c:v>
                </c:pt>
              </c:strCache>
            </c:strRef>
          </c:cat>
          <c:val>
            <c:numRef>
              <c:f>Dashboard!$AC$12:$AC$15</c:f>
              <c:numCache>
                <c:formatCode>General</c:formatCode>
                <c:ptCount val="4"/>
                <c:pt idx="0">
                  <c:v>59</c:v>
                </c:pt>
                <c:pt idx="1">
                  <c:v>27</c:v>
                </c:pt>
                <c:pt idx="2">
                  <c:v>37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E-4BE5-AE32-4B569D5360C8}"/>
            </c:ext>
          </c:extLst>
        </c:ser>
        <c:ser>
          <c:idx val="1"/>
          <c:order val="1"/>
          <c:tx>
            <c:v>Did not attend</c:v>
          </c:tx>
          <c:spPr>
            <a:solidFill>
              <a:srgbClr val="D9A3A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5A1F1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Dashboard!$AB$12:$AB$15</c:f>
              <c:strCache>
                <c:ptCount val="4"/>
                <c:pt idx="0">
                  <c:v>Adult woman</c:v>
                </c:pt>
                <c:pt idx="1">
                  <c:v>Young woman</c:v>
                </c:pt>
                <c:pt idx="2">
                  <c:v>Girl</c:v>
                </c:pt>
                <c:pt idx="3">
                  <c:v>Community stakeholder</c:v>
                </c:pt>
              </c:strCache>
            </c:strRef>
          </c:cat>
          <c:val>
            <c:numRef>
              <c:f>Dashboard!$AD$12:$AD$15</c:f>
              <c:numCache>
                <c:formatCode>General</c:formatCode>
                <c:ptCount val="4"/>
                <c:pt idx="0">
                  <c:v>37</c:v>
                </c:pt>
                <c:pt idx="1">
                  <c:v>15</c:v>
                </c:pt>
                <c:pt idx="2">
                  <c:v>15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E-4BE5-AE32-4B569D536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74804103"/>
        <c:axId val="29443306"/>
      </c:barChart>
      <c:catAx>
        <c:axId val="7480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29443306"/>
        <c:crosses val="autoZero"/>
        <c:auto val="1"/>
        <c:lblAlgn val="ctr"/>
        <c:lblOffset val="100"/>
        <c:noMultiLvlLbl val="0"/>
      </c:catAx>
      <c:valAx>
        <c:axId val="29443306"/>
        <c:scaling>
          <c:orientation val="minMax"/>
        </c:scaling>
        <c:delete val="0"/>
        <c:axPos val="l"/>
        <c:majorGridlines>
          <c:spPr>
            <a:ln w="6480">
              <a:solidFill>
                <a:srgbClr val="E3EA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7A8782"/>
                </a:solidFill>
                <a:latin typeface="Calibri"/>
                <a:ea typeface="Calibri"/>
              </a:defRPr>
            </a:pPr>
            <a:endParaRPr lang="en-US"/>
          </a:p>
        </c:txPr>
        <c:crossAx val="748041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201068120031438"/>
          <c:y val="5.8384142582685442E-2"/>
          <c:w val="0.82742581783979485"/>
          <c:h val="0.70692832124066929"/>
        </c:manualLayout>
      </c:layout>
      <c:barChart>
        <c:barDir val="bar"/>
        <c:grouping val="percentStacked"/>
        <c:varyColors val="0"/>
        <c:ser>
          <c:idx val="0"/>
          <c:order val="0"/>
          <c:tx>
            <c:v>Clear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Dashboard!$AB$19:$AB$22</c:f>
              <c:strCache>
                <c:ptCount val="4"/>
                <c:pt idx="0">
                  <c:v>None</c:v>
                </c:pt>
                <c:pt idx="1">
                  <c:v>Basic</c:v>
                </c:pt>
                <c:pt idx="2">
                  <c:v>Conversational</c:v>
                </c:pt>
                <c:pt idx="3">
                  <c:v>Fluent</c:v>
                </c:pt>
              </c:strCache>
            </c:strRef>
          </c:cat>
          <c:val>
            <c:numRef>
              <c:f>Dashboard!$AC$19:$AC$22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9-4CE1-A7BA-7464B9672A32}"/>
            </c:ext>
          </c:extLst>
        </c:ser>
        <c:ser>
          <c:idx val="1"/>
          <c:order val="1"/>
          <c:tx>
            <c:v>Partial</c:v>
          </c:tx>
          <c:spPr>
            <a:solidFill>
              <a:srgbClr val="E9B44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2A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Dashboard!$AB$19:$AB$22</c:f>
              <c:strCache>
                <c:ptCount val="4"/>
                <c:pt idx="0">
                  <c:v>None</c:v>
                </c:pt>
                <c:pt idx="1">
                  <c:v>Basic</c:v>
                </c:pt>
                <c:pt idx="2">
                  <c:v>Conversational</c:v>
                </c:pt>
                <c:pt idx="3">
                  <c:v>Fluent</c:v>
                </c:pt>
              </c:strCache>
            </c:strRef>
          </c:cat>
          <c:val>
            <c:numRef>
              <c:f>Dashboard!$AD$19:$AD$22</c:f>
              <c:numCache>
                <c:formatCode>General</c:formatCode>
                <c:ptCount val="4"/>
                <c:pt idx="0">
                  <c:v>24</c:v>
                </c:pt>
                <c:pt idx="1">
                  <c:v>32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9-4CE1-A7BA-7464B9672A32}"/>
            </c:ext>
          </c:extLst>
        </c:ser>
        <c:ser>
          <c:idx val="2"/>
          <c:order val="2"/>
          <c:tx>
            <c:v>Limited</c:v>
          </c:tx>
          <c:spPr>
            <a:solidFill>
              <a:srgbClr val="B23A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Dashboard!$AB$19:$AB$22</c:f>
              <c:strCache>
                <c:ptCount val="4"/>
                <c:pt idx="0">
                  <c:v>None</c:v>
                </c:pt>
                <c:pt idx="1">
                  <c:v>Basic</c:v>
                </c:pt>
                <c:pt idx="2">
                  <c:v>Conversational</c:v>
                </c:pt>
                <c:pt idx="3">
                  <c:v>Fluent</c:v>
                </c:pt>
              </c:strCache>
            </c:strRef>
          </c:cat>
          <c:val>
            <c:numRef>
              <c:f>Dashboard!$AE$19:$AE$22</c:f>
              <c:numCache>
                <c:formatCode>General</c:formatCode>
                <c:ptCount val="4"/>
                <c:pt idx="0">
                  <c:v>25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9-4CE1-A7BA-7464B967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7319513"/>
        <c:axId val="55578489"/>
      </c:barChart>
      <c:catAx>
        <c:axId val="4731951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55578489"/>
        <c:crosses val="autoZero"/>
        <c:auto val="1"/>
        <c:lblAlgn val="ctr"/>
        <c:lblOffset val="100"/>
        <c:noMultiLvlLbl val="0"/>
      </c:catAx>
      <c:valAx>
        <c:axId val="55578489"/>
        <c:scaling>
          <c:orientation val="minMax"/>
        </c:scaling>
        <c:delete val="0"/>
        <c:axPos val="b"/>
        <c:majorGridlines>
          <c:spPr>
            <a:ln w="6480">
              <a:solidFill>
                <a:srgbClr val="E3EA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7A8782"/>
                </a:solidFill>
                <a:latin typeface="Calibri"/>
                <a:ea typeface="Calibri"/>
              </a:defRPr>
            </a:pPr>
            <a:endParaRPr lang="en-US"/>
          </a:p>
        </c:txPr>
        <c:crossAx val="4731951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Attendees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E463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C48-466B-984C-3940E156E44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C48-466B-984C-3940E156E446}"/>
              </c:ext>
            </c:extLst>
          </c:dPt>
          <c:dPt>
            <c:idx val="2"/>
            <c:invertIfNegative val="0"/>
            <c:bubble3D val="0"/>
            <c:spPr>
              <a:solidFill>
                <a:srgbClr val="8FBF9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C48-466B-984C-3940E156E446}"/>
              </c:ext>
            </c:extLst>
          </c:dPt>
          <c:dPt>
            <c:idx val="3"/>
            <c:invertIfNegative val="0"/>
            <c:bubble3D val="0"/>
            <c:spPr>
              <a:solidFill>
                <a:srgbClr val="E9B4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C48-466B-984C-3940E156E446}"/>
              </c:ext>
            </c:extLst>
          </c:dPt>
          <c:dPt>
            <c:idx val="4"/>
            <c:invertIfNegative val="0"/>
            <c:bubble3D val="0"/>
            <c:spPr>
              <a:solidFill>
                <a:srgbClr val="B2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C48-466B-984C-3940E156E44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C48-466B-984C-3940E156E44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C48-466B-984C-3940E156E44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C48-466B-984C-3940E156E44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C48-466B-984C-3940E156E44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C48-466B-984C-3940E156E4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4A44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Dashboard!$AB$26:$AB$30</c:f>
              <c:strCache>
                <c:ptCount val="5"/>
                <c:pt idx="0">
                  <c:v>Women’s health, education &amp; support services</c:v>
                </c:pt>
                <c:pt idx="1">
                  <c:v>Women’s health and education</c:v>
                </c:pt>
                <c:pt idx="2">
                  <c:v>Health talk only</c:v>
                </c:pt>
                <c:pt idx="3">
                  <c:v>Unsure why women/girls were invited</c:v>
                </c:pt>
                <c:pt idx="4">
                  <c:v>Unclear; possibly external influence</c:v>
                </c:pt>
              </c:strCache>
            </c:strRef>
          </c:cat>
          <c:val>
            <c:numRef>
              <c:f>Dashboard!$AC$26:$AC$30</c:f>
              <c:numCache>
                <c:formatCode>General</c:formatCode>
                <c:ptCount val="5"/>
                <c:pt idx="0">
                  <c:v>37</c:v>
                </c:pt>
                <c:pt idx="1">
                  <c:v>37</c:v>
                </c:pt>
                <c:pt idx="2">
                  <c:v>3</c:v>
                </c:pt>
                <c:pt idx="3">
                  <c:v>16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48-466B-984C-3940E156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0909467"/>
        <c:axId val="34179818"/>
      </c:barChart>
      <c:catAx>
        <c:axId val="309094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34179818"/>
        <c:crosses val="autoZero"/>
        <c:auto val="1"/>
        <c:lblAlgn val="ctr"/>
        <c:lblOffset val="100"/>
        <c:noMultiLvlLbl val="0"/>
      </c:catAx>
      <c:valAx>
        <c:axId val="3417981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0909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Very high</c:v>
          </c:tx>
          <c:spPr>
            <a:solidFill>
              <a:srgbClr val="0E463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Dashboard!$AB$34:$AB$36</c:f>
              <c:strCache>
                <c:ptCount val="3"/>
                <c:pt idx="0">
                  <c:v>Clear</c:v>
                </c:pt>
                <c:pt idx="1">
                  <c:v>Partial</c:v>
                </c:pt>
                <c:pt idx="2">
                  <c:v>Limited</c:v>
                </c:pt>
              </c:strCache>
            </c:strRef>
          </c:cat>
          <c:val>
            <c:numRef>
              <c:f>Dashboard!$AC$34:$AC$36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5-44A6-8E0B-6F159E5D1F4C}"/>
            </c:ext>
          </c:extLst>
        </c:ser>
        <c:ser>
          <c:idx val="1"/>
          <c:order val="1"/>
          <c:tx>
            <c:v>High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Dashboard!$AB$34:$AB$36</c:f>
              <c:strCache>
                <c:ptCount val="3"/>
                <c:pt idx="0">
                  <c:v>Clear</c:v>
                </c:pt>
                <c:pt idx="1">
                  <c:v>Partial</c:v>
                </c:pt>
                <c:pt idx="2">
                  <c:v>Limited</c:v>
                </c:pt>
              </c:strCache>
            </c:strRef>
          </c:cat>
          <c:val>
            <c:numRef>
              <c:f>Dashboard!$AD$34:$AD$36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5-44A6-8E0B-6F159E5D1F4C}"/>
            </c:ext>
          </c:extLst>
        </c:ser>
        <c:ser>
          <c:idx val="2"/>
          <c:order val="2"/>
          <c:tx>
            <c:v>Moderate</c:v>
          </c:tx>
          <c:spPr>
            <a:solidFill>
              <a:srgbClr val="E9B44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2A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Dashboard!$AB$34:$AB$36</c:f>
              <c:strCache>
                <c:ptCount val="3"/>
                <c:pt idx="0">
                  <c:v>Clear</c:v>
                </c:pt>
                <c:pt idx="1">
                  <c:v>Partial</c:v>
                </c:pt>
                <c:pt idx="2">
                  <c:v>Limited</c:v>
                </c:pt>
              </c:strCache>
            </c:strRef>
          </c:cat>
          <c:val>
            <c:numRef>
              <c:f>Dashboard!$AE$34:$AE$36</c:f>
              <c:numCache>
                <c:formatCode>General</c:formatCode>
                <c:ptCount val="3"/>
                <c:pt idx="0">
                  <c:v>13</c:v>
                </c:pt>
                <c:pt idx="1">
                  <c:v>28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5-44A6-8E0B-6F159E5D1F4C}"/>
            </c:ext>
          </c:extLst>
        </c:ser>
        <c:ser>
          <c:idx val="3"/>
          <c:order val="3"/>
          <c:tx>
            <c:v>Low</c:v>
          </c:tx>
          <c:spPr>
            <a:solidFill>
              <a:srgbClr val="E07B3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Dashboard!$AB$34:$AB$36</c:f>
              <c:strCache>
                <c:ptCount val="3"/>
                <c:pt idx="0">
                  <c:v>Clear</c:v>
                </c:pt>
                <c:pt idx="1">
                  <c:v>Partial</c:v>
                </c:pt>
                <c:pt idx="2">
                  <c:v>Limited</c:v>
                </c:pt>
              </c:strCache>
            </c:strRef>
          </c:cat>
          <c:val>
            <c:numRef>
              <c:f>Dashboard!$AF$34:$AF$36</c:f>
              <c:numCache>
                <c:formatCode>General</c:formatCode>
                <c:ptCount val="3"/>
                <c:pt idx="0">
                  <c:v>6</c:v>
                </c:pt>
                <c:pt idx="1">
                  <c:v>23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A5-44A6-8E0B-6F159E5D1F4C}"/>
            </c:ext>
          </c:extLst>
        </c:ser>
        <c:ser>
          <c:idx val="4"/>
          <c:order val="4"/>
          <c:tx>
            <c:v>Very low</c:v>
          </c:tx>
          <c:spPr>
            <a:solidFill>
              <a:srgbClr val="B23A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Dashboard!$AB$34:$AB$36</c:f>
              <c:strCache>
                <c:ptCount val="3"/>
                <c:pt idx="0">
                  <c:v>Clear</c:v>
                </c:pt>
                <c:pt idx="1">
                  <c:v>Partial</c:v>
                </c:pt>
                <c:pt idx="2">
                  <c:v>Limited</c:v>
                </c:pt>
              </c:strCache>
            </c:strRef>
          </c:cat>
          <c:val>
            <c:numRef>
              <c:f>Dashboard!$AG$34:$AG$36</c:f>
              <c:numCache>
                <c:formatCode>General</c:formatCode>
                <c:ptCount val="3"/>
                <c:pt idx="0">
                  <c:v>0</c:v>
                </c:pt>
                <c:pt idx="1">
                  <c:v>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A5-44A6-8E0B-6F159E5D1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3233842"/>
        <c:axId val="56201898"/>
      </c:barChart>
      <c:catAx>
        <c:axId val="5323384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56201898"/>
        <c:crosses val="autoZero"/>
        <c:auto val="1"/>
        <c:lblAlgn val="ctr"/>
        <c:lblOffset val="100"/>
        <c:noMultiLvlLbl val="0"/>
      </c:catAx>
      <c:valAx>
        <c:axId val="56201898"/>
        <c:scaling>
          <c:orientation val="minMax"/>
        </c:scaling>
        <c:delete val="0"/>
        <c:axPos val="b"/>
        <c:majorGridlines>
          <c:spPr>
            <a:ln w="6480">
              <a:solidFill>
                <a:srgbClr val="E3EA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7A8782"/>
                </a:solidFill>
                <a:latin typeface="Calibri"/>
                <a:ea typeface="Calibri"/>
              </a:defRPr>
            </a:pPr>
            <a:endParaRPr lang="en-US"/>
          </a:p>
        </c:txPr>
        <c:crossAx val="532338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Actively engaged / contributed</c:v>
          </c:tx>
          <c:spPr>
            <a:solidFill>
              <a:srgbClr val="0E463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Dashboard!$AB$40:$AB$42</c:f>
              <c:strCache>
                <c:ptCount val="3"/>
                <c:pt idx="0">
                  <c:v>High / very high trust</c:v>
                </c:pt>
                <c:pt idx="1">
                  <c:v>Moderate trust</c:v>
                </c:pt>
                <c:pt idx="2">
                  <c:v>Low / very low trust</c:v>
                </c:pt>
              </c:strCache>
            </c:strRef>
          </c:cat>
          <c:val>
            <c:numRef>
              <c:f>Dashboard!$AC$40:$AC$42</c:f>
              <c:numCache>
                <c:formatCode>General</c:formatCode>
                <c:ptCount val="3"/>
                <c:pt idx="0">
                  <c:v>17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4C98-8A00-0368727F4C71}"/>
            </c:ext>
          </c:extLst>
        </c:ser>
        <c:ser>
          <c:idx val="1"/>
          <c:order val="1"/>
          <c:tx>
            <c:v>Asked one question</c:v>
          </c:tx>
          <c:spPr>
            <a:solidFill>
              <a:srgbClr val="6FAE8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Dashboard!$AB$40:$AB$42</c:f>
              <c:strCache>
                <c:ptCount val="3"/>
                <c:pt idx="0">
                  <c:v>High / very high trust</c:v>
                </c:pt>
                <c:pt idx="1">
                  <c:v>Moderate trust</c:v>
                </c:pt>
                <c:pt idx="2">
                  <c:v>Low / very low trust</c:v>
                </c:pt>
              </c:strCache>
            </c:strRef>
          </c:cat>
          <c:val>
            <c:numRef>
              <c:f>Dashboard!$AD$40:$AD$42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8-4C98-8A00-0368727F4C71}"/>
            </c:ext>
          </c:extLst>
        </c:ser>
        <c:ser>
          <c:idx val="2"/>
          <c:order val="2"/>
          <c:tx>
            <c:v>Listened quietly</c:v>
          </c:tx>
          <c:spPr>
            <a:solidFill>
              <a:srgbClr val="E9B44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2A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Dashboard!$AB$40:$AB$42</c:f>
              <c:strCache>
                <c:ptCount val="3"/>
                <c:pt idx="0">
                  <c:v>High / very high trust</c:v>
                </c:pt>
                <c:pt idx="1">
                  <c:v>Moderate trust</c:v>
                </c:pt>
                <c:pt idx="2">
                  <c:v>Low / very low trust</c:v>
                </c:pt>
              </c:strCache>
            </c:strRef>
          </c:cat>
          <c:val>
            <c:numRef>
              <c:f>Dashboard!$AE$40:$AE$42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58-4C98-8A00-0368727F4C71}"/>
            </c:ext>
          </c:extLst>
        </c:ser>
        <c:ser>
          <c:idx val="3"/>
          <c:order val="3"/>
          <c:tx>
            <c:v>Observed only</c:v>
          </c:tx>
          <c:spPr>
            <a:solidFill>
              <a:srgbClr val="B23A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Dashboard!$AB$40:$AB$42</c:f>
              <c:strCache>
                <c:ptCount val="3"/>
                <c:pt idx="0">
                  <c:v>High / very high trust</c:v>
                </c:pt>
                <c:pt idx="1">
                  <c:v>Moderate trust</c:v>
                </c:pt>
                <c:pt idx="2">
                  <c:v>Low / very low trust</c:v>
                </c:pt>
              </c:strCache>
            </c:strRef>
          </c:cat>
          <c:val>
            <c:numRef>
              <c:f>Dashboard!$AF$40:$AF$42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58-4C98-8A00-0368727F4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0019811"/>
        <c:axId val="21768165"/>
      </c:barChart>
      <c:catAx>
        <c:axId val="600198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21768165"/>
        <c:crosses val="autoZero"/>
        <c:auto val="1"/>
        <c:lblAlgn val="ctr"/>
        <c:lblOffset val="100"/>
        <c:noMultiLvlLbl val="0"/>
      </c:catAx>
      <c:valAx>
        <c:axId val="21768165"/>
        <c:scaling>
          <c:orientation val="minMax"/>
        </c:scaling>
        <c:delete val="0"/>
        <c:axPos val="b"/>
        <c:majorGridlines>
          <c:spPr>
            <a:ln w="6480">
              <a:solidFill>
                <a:srgbClr val="E3EA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7A8782"/>
                </a:solidFill>
                <a:latin typeface="Calibri"/>
                <a:ea typeface="Calibri"/>
              </a:defRPr>
            </a:pPr>
            <a:endParaRPr lang="en-US"/>
          </a:p>
        </c:txPr>
        <c:crossAx val="6001981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Attended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Dashboard!$AB$46:$AB$54</c:f>
              <c:strCache>
                <c:ptCount val="9"/>
                <c:pt idx="0">
                  <c:v>Language barrier</c:v>
                </c:pt>
                <c:pt idx="1">
                  <c:v>Need for clearer purpose explanation</c:v>
                </c:pt>
                <c:pt idx="2">
                  <c:v>Did not hear about programme</c:v>
                </c:pt>
                <c:pt idx="3">
                  <c:v>Need for elder engagement</c:v>
                </c:pt>
                <c:pt idx="4">
                  <c:v>Household/time constraints</c:v>
                </c:pt>
                <c:pt idx="5">
                  <c:v>No major concern</c:v>
                </c:pt>
                <c:pt idx="6">
                  <c:v>Insufficient prior information</c:v>
                </c:pt>
                <c:pt idx="7">
                  <c:v>Limited time for questions</c:v>
                </c:pt>
                <c:pt idx="8">
                  <c:v>Concern about programme purpose</c:v>
                </c:pt>
              </c:strCache>
            </c:strRef>
          </c:cat>
          <c:val>
            <c:numRef>
              <c:f>Dashboard!$AC$46:$AC$54</c:f>
              <c:numCache>
                <c:formatCode>General</c:formatCode>
                <c:ptCount val="9"/>
                <c:pt idx="0">
                  <c:v>31</c:v>
                </c:pt>
                <c:pt idx="1">
                  <c:v>33</c:v>
                </c:pt>
                <c:pt idx="2">
                  <c:v>0</c:v>
                </c:pt>
                <c:pt idx="3">
                  <c:v>27</c:v>
                </c:pt>
                <c:pt idx="4">
                  <c:v>8</c:v>
                </c:pt>
                <c:pt idx="5">
                  <c:v>17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0-4940-B8D4-1B5B5F0FB606}"/>
            </c:ext>
          </c:extLst>
        </c:ser>
        <c:ser>
          <c:idx val="1"/>
          <c:order val="1"/>
          <c:tx>
            <c:v>Did not attend</c:v>
          </c:tx>
          <c:spPr>
            <a:solidFill>
              <a:srgbClr val="B23A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Dashboard!$AB$46:$AB$54</c:f>
              <c:strCache>
                <c:ptCount val="9"/>
                <c:pt idx="0">
                  <c:v>Language barrier</c:v>
                </c:pt>
                <c:pt idx="1">
                  <c:v>Need for clearer purpose explanation</c:v>
                </c:pt>
                <c:pt idx="2">
                  <c:v>Did not hear about programme</c:v>
                </c:pt>
                <c:pt idx="3">
                  <c:v>Need for elder engagement</c:v>
                </c:pt>
                <c:pt idx="4">
                  <c:v>Household/time constraints</c:v>
                </c:pt>
                <c:pt idx="5">
                  <c:v>No major concern</c:v>
                </c:pt>
                <c:pt idx="6">
                  <c:v>Insufficient prior information</c:v>
                </c:pt>
                <c:pt idx="7">
                  <c:v>Limited time for questions</c:v>
                </c:pt>
                <c:pt idx="8">
                  <c:v>Concern about programme purpose</c:v>
                </c:pt>
              </c:strCache>
            </c:strRef>
          </c:cat>
          <c:val>
            <c:numRef>
              <c:f>Dashboard!$AD$46:$AD$54</c:f>
              <c:numCache>
                <c:formatCode>General</c:formatCode>
                <c:ptCount val="9"/>
                <c:pt idx="0">
                  <c:v>5</c:v>
                </c:pt>
                <c:pt idx="1">
                  <c:v>0</c:v>
                </c:pt>
                <c:pt idx="2">
                  <c:v>32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14</c:v>
                </c:pt>
                <c:pt idx="7">
                  <c:v>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0-4940-B8D4-1B5B5F0F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2438563"/>
        <c:axId val="41350141"/>
      </c:barChart>
      <c:catAx>
        <c:axId val="424385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41350141"/>
        <c:crosses val="autoZero"/>
        <c:auto val="1"/>
        <c:lblAlgn val="ctr"/>
        <c:lblOffset val="100"/>
        <c:noMultiLvlLbl val="0"/>
      </c:catAx>
      <c:valAx>
        <c:axId val="4135014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424385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Attendance rate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B2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E47-4580-A223-B9C74EAC431E}"/>
              </c:ext>
            </c:extLst>
          </c:dPt>
          <c:dLbls>
            <c:dLbl>
              <c:idx val="6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E47-4580-A223-B9C74EAC43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4A44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Dashboard!$AC$58:$AC$64</c:f>
              <c:strCache>
                <c:ptCount val="7"/>
                <c:pt idx="0">
                  <c:v>Teacher/school contact (n=20)</c:v>
                </c:pt>
                <c:pt idx="1">
                  <c:v>Family member (n=30)</c:v>
                </c:pt>
                <c:pt idx="2">
                  <c:v>Women’s group representative (n=13)</c:v>
                </c:pt>
                <c:pt idx="3">
                  <c:v>Village/community leader (n=29)</c:v>
                </c:pt>
                <c:pt idx="4">
                  <c:v>Religious/community announcement (n=8)</c:v>
                </c:pt>
                <c:pt idx="5">
                  <c:v>Friend/neighbour (n=39)</c:v>
                </c:pt>
                <c:pt idx="6">
                  <c:v>Field team invitation (n=29)</c:v>
                </c:pt>
              </c:strCache>
            </c:strRef>
          </c:cat>
          <c:val>
            <c:numRef>
              <c:f>Dashboard!$AF$58:$AF$64</c:f>
              <c:numCache>
                <c:formatCode>0%</c:formatCode>
                <c:ptCount val="7"/>
                <c:pt idx="0">
                  <c:v>0.95</c:v>
                </c:pt>
                <c:pt idx="1">
                  <c:v>0.8666666666666667</c:v>
                </c:pt>
                <c:pt idx="2">
                  <c:v>0.84615384615384615</c:v>
                </c:pt>
                <c:pt idx="3">
                  <c:v>0.75862068965517238</c:v>
                </c:pt>
                <c:pt idx="4">
                  <c:v>0.75</c:v>
                </c:pt>
                <c:pt idx="5">
                  <c:v>0.69230769230769229</c:v>
                </c:pt>
                <c:pt idx="6">
                  <c:v>0.65517241379310343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7-4580-A223-B9C74EAC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89790428"/>
        <c:axId val="92494341"/>
      </c:barChart>
      <c:catAx>
        <c:axId val="897904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92494341"/>
        <c:crosses val="autoZero"/>
        <c:auto val="1"/>
        <c:lblAlgn val="ctr"/>
        <c:lblOffset val="100"/>
        <c:noMultiLvlLbl val="0"/>
      </c:catAx>
      <c:valAx>
        <c:axId val="92494341"/>
        <c:scaling>
          <c:orientation val="minMax"/>
          <c:max val="1.1000000000000001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89790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Respondents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4A44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Dashboard!$AB$68:$AB$72</c:f>
              <c:strCache>
                <c:ptCount val="5"/>
                <c:pt idx="0">
                  <c:v>Local-language community meeting</c:v>
                </c:pt>
                <c:pt idx="1">
                  <c:v>Women’s group meeting</c:v>
                </c:pt>
                <c:pt idx="2">
                  <c:v>School-based session</c:v>
                </c:pt>
                <c:pt idx="3">
                  <c:v>Home/compound visit</c:v>
                </c:pt>
                <c:pt idx="4">
                  <c:v>Radio announcement</c:v>
                </c:pt>
              </c:strCache>
            </c:strRef>
          </c:cat>
          <c:val>
            <c:numRef>
              <c:f>Dashboard!$AC$68:$AC$72</c:f>
              <c:numCache>
                <c:formatCode>General</c:formatCode>
                <c:ptCount val="5"/>
                <c:pt idx="0">
                  <c:v>67</c:v>
                </c:pt>
                <c:pt idx="1">
                  <c:v>59</c:v>
                </c:pt>
                <c:pt idx="2">
                  <c:v>34</c:v>
                </c:pt>
                <c:pt idx="3">
                  <c:v>24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F-4E12-B4B7-63B0EADF7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1506761"/>
        <c:axId val="85680516"/>
      </c:barChart>
      <c:catAx>
        <c:axId val="3150676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85680516"/>
        <c:crosses val="autoZero"/>
        <c:auto val="1"/>
        <c:lblAlgn val="ctr"/>
        <c:lblOffset val="100"/>
        <c:noMultiLvlLbl val="0"/>
      </c:catAx>
      <c:valAx>
        <c:axId val="8568051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1506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Respondents</c:v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5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ABE-4EEF-99DC-6A465B419B3C}"/>
              </c:ext>
            </c:extLst>
          </c:dPt>
          <c:dPt>
            <c:idx val="1"/>
            <c:bubble3D val="0"/>
            <c:spPr>
              <a:solidFill>
                <a:srgbClr val="E9B4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ABE-4EEF-99DC-6A465B419B3C}"/>
              </c:ext>
            </c:extLst>
          </c:dPt>
          <c:dPt>
            <c:idx val="2"/>
            <c:bubble3D val="0"/>
            <c:spPr>
              <a:solidFill>
                <a:srgbClr val="B2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ABE-4EEF-99DC-6A465B419B3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ABE-4EEF-99DC-6A465B419B3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ABE-4EEF-99DC-6A465B419B3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ABE-4EEF-99DC-6A465B419B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Dashboard!$AB$76:$AB$78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Dashboard!$AC$76:$AC$78</c:f>
              <c:numCache>
                <c:formatCode>General</c:formatCode>
                <c:ptCount val="3"/>
                <c:pt idx="0">
                  <c:v>63</c:v>
                </c:pt>
                <c:pt idx="1">
                  <c:v>62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E-4EEF-99DC-6A465B419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B4A44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score</c:v>
          </c:tx>
          <c:spPr>
            <a:solidFill>
              <a:srgbClr val="2E7D5B"/>
            </a:soli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B2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0DF-49B8-84CD-A6ACF201BAE9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B4A44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0DF-49B8-84CD-A6ACF201B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B4A44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Dashboard!$AB$82:$AB$85</c:f>
              <c:strCache>
                <c:ptCount val="4"/>
                <c:pt idx="0">
                  <c:v>Adult woman</c:v>
                </c:pt>
                <c:pt idx="1">
                  <c:v>Young woman</c:v>
                </c:pt>
                <c:pt idx="2">
                  <c:v>Girl</c:v>
                </c:pt>
                <c:pt idx="3">
                  <c:v>Community stakeholder</c:v>
                </c:pt>
              </c:strCache>
            </c:strRef>
          </c:cat>
          <c:val>
            <c:numRef>
              <c:f>Dashboard!$AC$82:$AC$85</c:f>
              <c:numCache>
                <c:formatCode>0.0</c:formatCode>
                <c:ptCount val="4"/>
                <c:pt idx="0">
                  <c:v>2.5762711864406778</c:v>
                </c:pt>
                <c:pt idx="1">
                  <c:v>2.7407407407407409</c:v>
                </c:pt>
                <c:pt idx="2">
                  <c:v>2.4594594594594597</c:v>
                </c:pt>
                <c:pt idx="3">
                  <c:v>1.5714285714285714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F-49B8-84CD-A6ACF201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9819423"/>
        <c:axId val="72793396"/>
      </c:barChart>
      <c:catAx>
        <c:axId val="98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C9D3CE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B4A44"/>
                </a:solidFill>
                <a:latin typeface="Calibri"/>
                <a:ea typeface="Calibri"/>
              </a:defRPr>
            </a:pPr>
            <a:endParaRPr lang="en-US"/>
          </a:p>
        </c:txPr>
        <c:crossAx val="72793396"/>
        <c:crosses val="autoZero"/>
        <c:auto val="1"/>
        <c:lblAlgn val="ctr"/>
        <c:lblOffset val="100"/>
        <c:noMultiLvlLbl val="0"/>
      </c:catAx>
      <c:valAx>
        <c:axId val="72793396"/>
        <c:scaling>
          <c:orientation val="minMax"/>
          <c:max val="5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crossAx val="98194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AD5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12</xdr:col>
      <xdr:colOff>621040</xdr:colOff>
      <xdr:row>23</xdr:row>
      <xdr:rowOff>158040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11</xdr:row>
      <xdr:rowOff>0</xdr:rowOff>
    </xdr:from>
    <xdr:to>
      <xdr:col>25</xdr:col>
      <xdr:colOff>113040</xdr:colOff>
      <xdr:row>23</xdr:row>
      <xdr:rowOff>158040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12</xdr:col>
      <xdr:colOff>621040</xdr:colOff>
      <xdr:row>40</xdr:row>
      <xdr:rowOff>64440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28</xdr:row>
      <xdr:rowOff>0</xdr:rowOff>
    </xdr:from>
    <xdr:to>
      <xdr:col>25</xdr:col>
      <xdr:colOff>113040</xdr:colOff>
      <xdr:row>40</xdr:row>
      <xdr:rowOff>64440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259200</xdr:rowOff>
    </xdr:from>
    <xdr:to>
      <xdr:col>12</xdr:col>
      <xdr:colOff>621040</xdr:colOff>
      <xdr:row>57</xdr:row>
      <xdr:rowOff>64800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44</xdr:row>
      <xdr:rowOff>259200</xdr:rowOff>
    </xdr:from>
    <xdr:to>
      <xdr:col>25</xdr:col>
      <xdr:colOff>113040</xdr:colOff>
      <xdr:row>57</xdr:row>
      <xdr:rowOff>64800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61</xdr:row>
      <xdr:rowOff>259200</xdr:rowOff>
    </xdr:from>
    <xdr:to>
      <xdr:col>12</xdr:col>
      <xdr:colOff>621040</xdr:colOff>
      <xdr:row>76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61</xdr:row>
      <xdr:rowOff>259200</xdr:rowOff>
    </xdr:from>
    <xdr:to>
      <xdr:col>25</xdr:col>
      <xdr:colOff>113040</xdr:colOff>
      <xdr:row>76</xdr:row>
      <xdr:rowOff>65160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80</xdr:row>
      <xdr:rowOff>411480</xdr:rowOff>
    </xdr:from>
    <xdr:to>
      <xdr:col>9</xdr:col>
      <xdr:colOff>39240</xdr:colOff>
      <xdr:row>93</xdr:row>
      <xdr:rowOff>64440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80</xdr:row>
      <xdr:rowOff>411480</xdr:rowOff>
    </xdr:from>
    <xdr:to>
      <xdr:col>16</xdr:col>
      <xdr:colOff>159184</xdr:colOff>
      <xdr:row>93</xdr:row>
      <xdr:rowOff>64440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0</xdr:colOff>
      <xdr:row>80</xdr:row>
      <xdr:rowOff>411480</xdr:rowOff>
    </xdr:from>
    <xdr:to>
      <xdr:col>25</xdr:col>
      <xdr:colOff>39240</xdr:colOff>
      <xdr:row>93</xdr:row>
      <xdr:rowOff>64440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Y1000"/>
  <sheetViews>
    <sheetView zoomScaleNormal="100" workbookViewId="0"/>
  </sheetViews>
  <sheetFormatPr defaultColWidth="14.453125" defaultRowHeight="14.5" x14ac:dyDescent="0.35"/>
  <cols>
    <col min="1" max="2" width="8.7265625" customWidth="1"/>
    <col min="3" max="3" width="13.453125" customWidth="1"/>
    <col min="4" max="4" width="8.7265625" customWidth="1"/>
    <col min="5" max="5" width="15" customWidth="1"/>
    <col min="6" max="6" width="14.81640625" customWidth="1"/>
    <col min="7" max="7" width="16.08984375" customWidth="1"/>
    <col min="8" max="14" width="8.7265625" customWidth="1"/>
    <col min="15" max="15" width="39.26953125" customWidth="1"/>
    <col min="16" max="26" width="8.7265625" customWidth="1"/>
  </cols>
  <sheetData>
    <row r="1" spans="1:25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4.25" customHeight="1" x14ac:dyDescent="0.35">
      <c r="A2" t="s">
        <v>25</v>
      </c>
      <c r="B2">
        <v>15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3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32</v>
      </c>
      <c r="T2">
        <v>5</v>
      </c>
      <c r="U2" t="s">
        <v>41</v>
      </c>
      <c r="V2" t="s">
        <v>42</v>
      </c>
      <c r="W2" t="s">
        <v>32</v>
      </c>
      <c r="X2" t="s">
        <v>42</v>
      </c>
      <c r="Y2" t="s">
        <v>43</v>
      </c>
    </row>
    <row r="3" spans="1:25" ht="14.25" customHeight="1" x14ac:dyDescent="0.35">
      <c r="A3" t="s">
        <v>44</v>
      </c>
      <c r="B3">
        <v>40</v>
      </c>
      <c r="C3" t="s">
        <v>45</v>
      </c>
      <c r="D3" t="s">
        <v>27</v>
      </c>
      <c r="E3" t="s">
        <v>33</v>
      </c>
      <c r="F3" t="s">
        <v>46</v>
      </c>
      <c r="G3" t="s">
        <v>47</v>
      </c>
      <c r="H3" t="s">
        <v>48</v>
      </c>
      <c r="I3" t="s">
        <v>32</v>
      </c>
      <c r="J3" t="s">
        <v>49</v>
      </c>
      <c r="K3" t="s">
        <v>34</v>
      </c>
      <c r="L3" t="s">
        <v>50</v>
      </c>
      <c r="M3">
        <v>4</v>
      </c>
      <c r="N3" t="s">
        <v>36</v>
      </c>
      <c r="O3" t="s">
        <v>37</v>
      </c>
      <c r="P3" t="s">
        <v>51</v>
      </c>
      <c r="Q3" t="s">
        <v>52</v>
      </c>
      <c r="R3" t="s">
        <v>53</v>
      </c>
      <c r="S3" t="s">
        <v>32</v>
      </c>
      <c r="T3">
        <v>2</v>
      </c>
      <c r="U3" t="s">
        <v>41</v>
      </c>
      <c r="V3" t="s">
        <v>42</v>
      </c>
      <c r="W3" t="s">
        <v>32</v>
      </c>
      <c r="X3" t="s">
        <v>42</v>
      </c>
      <c r="Y3" t="s">
        <v>43</v>
      </c>
    </row>
    <row r="4" spans="1:25" ht="14.25" customHeight="1" x14ac:dyDescent="0.35">
      <c r="A4" t="s">
        <v>54</v>
      </c>
      <c r="B4">
        <v>16</v>
      </c>
      <c r="C4" t="s">
        <v>26</v>
      </c>
      <c r="D4" t="s">
        <v>27</v>
      </c>
      <c r="E4" t="s">
        <v>55</v>
      </c>
      <c r="F4" t="s">
        <v>56</v>
      </c>
      <c r="G4" t="s">
        <v>47</v>
      </c>
      <c r="H4" t="s">
        <v>31</v>
      </c>
      <c r="I4" t="s">
        <v>32</v>
      </c>
      <c r="J4" t="s">
        <v>57</v>
      </c>
      <c r="K4" t="s">
        <v>34</v>
      </c>
      <c r="L4" t="s">
        <v>50</v>
      </c>
      <c r="M4">
        <v>4</v>
      </c>
      <c r="N4" t="s">
        <v>36</v>
      </c>
      <c r="O4" t="s">
        <v>37</v>
      </c>
      <c r="P4" t="s">
        <v>58</v>
      </c>
      <c r="Q4" t="s">
        <v>59</v>
      </c>
      <c r="R4" t="s">
        <v>40</v>
      </c>
      <c r="S4" t="s">
        <v>32</v>
      </c>
      <c r="T4">
        <v>4</v>
      </c>
      <c r="U4" t="s">
        <v>60</v>
      </c>
      <c r="V4" t="s">
        <v>42</v>
      </c>
      <c r="W4" t="s">
        <v>32</v>
      </c>
      <c r="X4" t="s">
        <v>42</v>
      </c>
      <c r="Y4" t="s">
        <v>61</v>
      </c>
    </row>
    <row r="5" spans="1:25" ht="14.25" customHeight="1" x14ac:dyDescent="0.35">
      <c r="A5" t="s">
        <v>62</v>
      </c>
      <c r="B5">
        <v>51</v>
      </c>
      <c r="C5" t="s">
        <v>63</v>
      </c>
      <c r="D5" t="s">
        <v>27</v>
      </c>
      <c r="E5" t="s">
        <v>28</v>
      </c>
      <c r="F5" t="s">
        <v>29</v>
      </c>
      <c r="G5" t="s">
        <v>47</v>
      </c>
      <c r="H5" t="s">
        <v>48</v>
      </c>
      <c r="I5" t="s">
        <v>32</v>
      </c>
      <c r="J5" t="s">
        <v>57</v>
      </c>
      <c r="K5" t="s">
        <v>34</v>
      </c>
      <c r="L5" t="s">
        <v>50</v>
      </c>
      <c r="M5">
        <v>5</v>
      </c>
      <c r="N5" t="s">
        <v>36</v>
      </c>
      <c r="O5" t="s">
        <v>37</v>
      </c>
      <c r="P5" t="s">
        <v>64</v>
      </c>
      <c r="Q5" t="s">
        <v>65</v>
      </c>
      <c r="R5" t="s">
        <v>53</v>
      </c>
      <c r="S5" t="s">
        <v>32</v>
      </c>
      <c r="T5">
        <v>3</v>
      </c>
      <c r="U5" t="s">
        <v>60</v>
      </c>
      <c r="V5" t="s">
        <v>42</v>
      </c>
      <c r="W5" t="s">
        <v>32</v>
      </c>
      <c r="X5" t="s">
        <v>42</v>
      </c>
      <c r="Y5" t="s">
        <v>61</v>
      </c>
    </row>
    <row r="6" spans="1:25" ht="14.25" customHeight="1" x14ac:dyDescent="0.35">
      <c r="A6" t="s">
        <v>66</v>
      </c>
      <c r="B6">
        <v>35</v>
      </c>
      <c r="C6" t="s">
        <v>67</v>
      </c>
      <c r="D6" t="s">
        <v>27</v>
      </c>
      <c r="E6" t="s">
        <v>33</v>
      </c>
      <c r="F6" t="s">
        <v>68</v>
      </c>
      <c r="G6" t="s">
        <v>47</v>
      </c>
      <c r="H6" t="s">
        <v>48</v>
      </c>
      <c r="I6" t="s">
        <v>32</v>
      </c>
      <c r="J6" t="s">
        <v>69</v>
      </c>
      <c r="K6" t="s">
        <v>34</v>
      </c>
      <c r="L6" t="s">
        <v>50</v>
      </c>
      <c r="M6">
        <v>4</v>
      </c>
      <c r="N6" t="s">
        <v>36</v>
      </c>
      <c r="O6" t="s">
        <v>37</v>
      </c>
      <c r="P6" t="s">
        <v>38</v>
      </c>
      <c r="Q6" t="s">
        <v>39</v>
      </c>
      <c r="R6" t="s">
        <v>70</v>
      </c>
      <c r="S6" t="s">
        <v>32</v>
      </c>
      <c r="T6">
        <v>5</v>
      </c>
      <c r="U6" t="s">
        <v>41</v>
      </c>
      <c r="V6" t="s">
        <v>42</v>
      </c>
      <c r="W6" t="s">
        <v>32</v>
      </c>
      <c r="X6" t="s">
        <v>42</v>
      </c>
      <c r="Y6" t="s">
        <v>43</v>
      </c>
    </row>
    <row r="7" spans="1:25" ht="14.25" customHeight="1" x14ac:dyDescent="0.35">
      <c r="A7" t="s">
        <v>71</v>
      </c>
      <c r="B7">
        <v>44</v>
      </c>
      <c r="C7" t="s">
        <v>45</v>
      </c>
      <c r="D7" t="s">
        <v>27</v>
      </c>
      <c r="E7" t="s">
        <v>28</v>
      </c>
      <c r="F7" t="s">
        <v>46</v>
      </c>
      <c r="G7" t="s">
        <v>72</v>
      </c>
      <c r="H7" t="s">
        <v>48</v>
      </c>
      <c r="I7" t="s">
        <v>32</v>
      </c>
      <c r="J7" t="s">
        <v>73</v>
      </c>
      <c r="K7" t="s">
        <v>34</v>
      </c>
      <c r="L7" t="s">
        <v>50</v>
      </c>
      <c r="M7">
        <v>3</v>
      </c>
      <c r="N7" t="s">
        <v>36</v>
      </c>
      <c r="O7" t="s">
        <v>37</v>
      </c>
      <c r="P7" t="s">
        <v>64</v>
      </c>
      <c r="Q7" t="s">
        <v>52</v>
      </c>
      <c r="R7" t="s">
        <v>53</v>
      </c>
      <c r="S7" t="s">
        <v>74</v>
      </c>
      <c r="T7">
        <v>3</v>
      </c>
      <c r="U7" t="s">
        <v>60</v>
      </c>
      <c r="V7" t="s">
        <v>42</v>
      </c>
      <c r="W7" t="s">
        <v>75</v>
      </c>
      <c r="X7" t="s">
        <v>42</v>
      </c>
      <c r="Y7" t="s">
        <v>76</v>
      </c>
    </row>
    <row r="8" spans="1:25" ht="14.25" customHeight="1" x14ac:dyDescent="0.35">
      <c r="A8" t="s">
        <v>77</v>
      </c>
      <c r="B8">
        <v>48</v>
      </c>
      <c r="C8" t="s">
        <v>45</v>
      </c>
      <c r="D8" t="s">
        <v>27</v>
      </c>
      <c r="E8" t="s">
        <v>78</v>
      </c>
      <c r="F8" t="s">
        <v>29</v>
      </c>
      <c r="G8" t="s">
        <v>30</v>
      </c>
      <c r="H8" t="s">
        <v>48</v>
      </c>
      <c r="I8" t="s">
        <v>32</v>
      </c>
      <c r="J8" t="s">
        <v>79</v>
      </c>
      <c r="K8" t="s">
        <v>80</v>
      </c>
      <c r="L8" t="s">
        <v>80</v>
      </c>
      <c r="M8">
        <v>0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74</v>
      </c>
      <c r="T8" t="s">
        <v>82</v>
      </c>
      <c r="U8" t="s">
        <v>83</v>
      </c>
      <c r="V8" t="s">
        <v>84</v>
      </c>
      <c r="W8" t="s">
        <v>32</v>
      </c>
      <c r="X8" t="s">
        <v>84</v>
      </c>
      <c r="Y8" t="s">
        <v>85</v>
      </c>
    </row>
    <row r="9" spans="1:25" ht="14.25" customHeight="1" x14ac:dyDescent="0.35">
      <c r="A9" t="s">
        <v>86</v>
      </c>
      <c r="B9">
        <v>41</v>
      </c>
      <c r="C9" t="s">
        <v>45</v>
      </c>
      <c r="D9" t="s">
        <v>27</v>
      </c>
      <c r="E9" t="s">
        <v>28</v>
      </c>
      <c r="F9" t="s">
        <v>68</v>
      </c>
      <c r="G9" t="s">
        <v>87</v>
      </c>
      <c r="H9" t="s">
        <v>48</v>
      </c>
      <c r="I9" t="s">
        <v>32</v>
      </c>
      <c r="J9" t="s">
        <v>33</v>
      </c>
      <c r="K9" t="s">
        <v>34</v>
      </c>
      <c r="L9" t="s">
        <v>50</v>
      </c>
      <c r="M9">
        <v>4</v>
      </c>
      <c r="N9" t="s">
        <v>88</v>
      </c>
      <c r="O9" t="s">
        <v>89</v>
      </c>
      <c r="P9" t="s">
        <v>64</v>
      </c>
      <c r="Q9" t="s">
        <v>52</v>
      </c>
      <c r="R9" t="s">
        <v>53</v>
      </c>
      <c r="S9" t="s">
        <v>74</v>
      </c>
      <c r="T9">
        <v>3</v>
      </c>
      <c r="U9" t="s">
        <v>90</v>
      </c>
      <c r="V9" t="s">
        <v>84</v>
      </c>
      <c r="W9" t="s">
        <v>74</v>
      </c>
      <c r="X9" t="s">
        <v>84</v>
      </c>
      <c r="Y9" t="s">
        <v>76</v>
      </c>
    </row>
    <row r="10" spans="1:25" ht="14.25" customHeight="1" x14ac:dyDescent="0.35">
      <c r="A10" t="s">
        <v>91</v>
      </c>
      <c r="B10">
        <v>37</v>
      </c>
      <c r="C10" t="s">
        <v>67</v>
      </c>
      <c r="D10" t="s">
        <v>27</v>
      </c>
      <c r="E10" t="s">
        <v>28</v>
      </c>
      <c r="F10" t="s">
        <v>29</v>
      </c>
      <c r="G10" t="s">
        <v>87</v>
      </c>
      <c r="H10" t="s">
        <v>48</v>
      </c>
      <c r="I10" t="s">
        <v>32</v>
      </c>
      <c r="J10" t="s">
        <v>92</v>
      </c>
      <c r="K10" t="s">
        <v>34</v>
      </c>
      <c r="L10" t="s">
        <v>50</v>
      </c>
      <c r="M10">
        <v>4</v>
      </c>
      <c r="N10" t="s">
        <v>93</v>
      </c>
      <c r="O10" t="s">
        <v>89</v>
      </c>
      <c r="P10" t="s">
        <v>51</v>
      </c>
      <c r="Q10" t="s">
        <v>94</v>
      </c>
      <c r="R10" t="s">
        <v>53</v>
      </c>
      <c r="S10" t="s">
        <v>74</v>
      </c>
      <c r="T10">
        <v>1</v>
      </c>
      <c r="U10" t="s">
        <v>90</v>
      </c>
      <c r="V10" t="s">
        <v>84</v>
      </c>
      <c r="W10" t="s">
        <v>75</v>
      </c>
      <c r="X10" t="s">
        <v>84</v>
      </c>
      <c r="Y10" t="s">
        <v>76</v>
      </c>
    </row>
    <row r="11" spans="1:25" ht="14.25" customHeight="1" x14ac:dyDescent="0.35">
      <c r="A11" t="s">
        <v>95</v>
      </c>
      <c r="B11">
        <v>31</v>
      </c>
      <c r="C11" t="s">
        <v>67</v>
      </c>
      <c r="D11" t="s">
        <v>27</v>
      </c>
      <c r="E11" t="s">
        <v>78</v>
      </c>
      <c r="F11" t="s">
        <v>68</v>
      </c>
      <c r="G11" t="s">
        <v>30</v>
      </c>
      <c r="H11" t="s">
        <v>48</v>
      </c>
      <c r="I11" t="s">
        <v>74</v>
      </c>
      <c r="J11" t="s">
        <v>96</v>
      </c>
      <c r="K11" t="s">
        <v>80</v>
      </c>
      <c r="L11" t="s">
        <v>80</v>
      </c>
      <c r="M11">
        <v>0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74</v>
      </c>
      <c r="T11" t="s">
        <v>82</v>
      </c>
      <c r="U11" t="s">
        <v>97</v>
      </c>
      <c r="V11" t="s">
        <v>98</v>
      </c>
      <c r="W11" t="s">
        <v>74</v>
      </c>
      <c r="X11" t="s">
        <v>98</v>
      </c>
      <c r="Y11" t="s">
        <v>99</v>
      </c>
    </row>
    <row r="12" spans="1:25" ht="14.25" customHeight="1" x14ac:dyDescent="0.35">
      <c r="A12" t="s">
        <v>100</v>
      </c>
      <c r="B12">
        <v>13</v>
      </c>
      <c r="C12" t="s">
        <v>26</v>
      </c>
      <c r="D12" t="s">
        <v>27</v>
      </c>
      <c r="E12" t="s">
        <v>55</v>
      </c>
      <c r="F12" t="s">
        <v>68</v>
      </c>
      <c r="G12" t="s">
        <v>47</v>
      </c>
      <c r="H12" t="s">
        <v>31</v>
      </c>
      <c r="I12" t="s">
        <v>32</v>
      </c>
      <c r="J12" t="s">
        <v>49</v>
      </c>
      <c r="K12" t="s">
        <v>34</v>
      </c>
      <c r="L12" t="s">
        <v>35</v>
      </c>
      <c r="M12">
        <v>2</v>
      </c>
      <c r="N12" t="s">
        <v>36</v>
      </c>
      <c r="O12" t="s">
        <v>37</v>
      </c>
      <c r="P12" t="s">
        <v>51</v>
      </c>
      <c r="Q12" t="s">
        <v>52</v>
      </c>
      <c r="R12" t="s">
        <v>101</v>
      </c>
      <c r="S12" t="s">
        <v>74</v>
      </c>
      <c r="T12">
        <v>2</v>
      </c>
      <c r="U12" t="s">
        <v>41</v>
      </c>
      <c r="V12" t="s">
        <v>98</v>
      </c>
      <c r="W12" t="s">
        <v>75</v>
      </c>
      <c r="X12" t="s">
        <v>98</v>
      </c>
      <c r="Y12" t="s">
        <v>76</v>
      </c>
    </row>
    <row r="13" spans="1:25" ht="14.25" customHeight="1" x14ac:dyDescent="0.35">
      <c r="A13" t="s">
        <v>102</v>
      </c>
      <c r="B13">
        <v>45</v>
      </c>
      <c r="C13" t="s">
        <v>45</v>
      </c>
      <c r="D13" t="s">
        <v>27</v>
      </c>
      <c r="E13" t="s">
        <v>28</v>
      </c>
      <c r="F13" t="s">
        <v>29</v>
      </c>
      <c r="G13" t="s">
        <v>87</v>
      </c>
      <c r="H13" t="s">
        <v>48</v>
      </c>
      <c r="I13" t="s">
        <v>32</v>
      </c>
      <c r="J13" t="s">
        <v>57</v>
      </c>
      <c r="K13" t="s">
        <v>34</v>
      </c>
      <c r="L13" t="s">
        <v>103</v>
      </c>
      <c r="M13">
        <v>5</v>
      </c>
      <c r="N13" t="s">
        <v>88</v>
      </c>
      <c r="O13" t="s">
        <v>104</v>
      </c>
      <c r="P13" t="s">
        <v>64</v>
      </c>
      <c r="Q13" t="s">
        <v>59</v>
      </c>
      <c r="R13" t="s">
        <v>40</v>
      </c>
      <c r="S13" t="s">
        <v>74</v>
      </c>
      <c r="T13">
        <v>5</v>
      </c>
      <c r="U13" t="s">
        <v>90</v>
      </c>
      <c r="V13" t="s">
        <v>98</v>
      </c>
      <c r="W13" t="s">
        <v>75</v>
      </c>
      <c r="X13" t="s">
        <v>98</v>
      </c>
      <c r="Y13" t="s">
        <v>76</v>
      </c>
    </row>
    <row r="14" spans="1:25" ht="14.25" customHeight="1" x14ac:dyDescent="0.35">
      <c r="A14" t="s">
        <v>105</v>
      </c>
      <c r="B14">
        <v>21</v>
      </c>
      <c r="C14" t="s">
        <v>106</v>
      </c>
      <c r="D14" t="s">
        <v>27</v>
      </c>
      <c r="E14" t="s">
        <v>28</v>
      </c>
      <c r="F14" t="s">
        <v>46</v>
      </c>
      <c r="G14" t="s">
        <v>72</v>
      </c>
      <c r="H14" t="s">
        <v>107</v>
      </c>
      <c r="I14" t="s">
        <v>32</v>
      </c>
      <c r="J14" t="s">
        <v>92</v>
      </c>
      <c r="K14" t="s">
        <v>34</v>
      </c>
      <c r="L14" t="s">
        <v>103</v>
      </c>
      <c r="M14">
        <v>4</v>
      </c>
      <c r="N14" t="s">
        <v>36</v>
      </c>
      <c r="O14" t="s">
        <v>37</v>
      </c>
      <c r="P14" t="s">
        <v>58</v>
      </c>
      <c r="Q14" t="s">
        <v>59</v>
      </c>
      <c r="R14" t="s">
        <v>53</v>
      </c>
      <c r="S14" t="s">
        <v>32</v>
      </c>
      <c r="T14">
        <v>4</v>
      </c>
      <c r="U14" t="s">
        <v>90</v>
      </c>
      <c r="V14" t="s">
        <v>98</v>
      </c>
      <c r="W14" t="s">
        <v>32</v>
      </c>
      <c r="X14" t="s">
        <v>98</v>
      </c>
      <c r="Y14" t="s">
        <v>108</v>
      </c>
    </row>
    <row r="15" spans="1:25" ht="14.25" customHeight="1" x14ac:dyDescent="0.35">
      <c r="A15" t="s">
        <v>109</v>
      </c>
      <c r="B15">
        <v>19</v>
      </c>
      <c r="C15" t="s">
        <v>26</v>
      </c>
      <c r="D15" t="s">
        <v>27</v>
      </c>
      <c r="E15" t="s">
        <v>28</v>
      </c>
      <c r="F15" t="s">
        <v>29</v>
      </c>
      <c r="G15" t="s">
        <v>87</v>
      </c>
      <c r="H15" t="s">
        <v>107</v>
      </c>
      <c r="I15" t="s">
        <v>32</v>
      </c>
      <c r="J15" t="s">
        <v>33</v>
      </c>
      <c r="K15" t="s">
        <v>80</v>
      </c>
      <c r="L15" t="s">
        <v>80</v>
      </c>
      <c r="M15">
        <v>0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74</v>
      </c>
      <c r="T15" t="s">
        <v>82</v>
      </c>
      <c r="U15" t="s">
        <v>110</v>
      </c>
      <c r="V15" t="s">
        <v>42</v>
      </c>
      <c r="W15" t="s">
        <v>32</v>
      </c>
      <c r="X15" t="s">
        <v>42</v>
      </c>
      <c r="Y15" t="s">
        <v>111</v>
      </c>
    </row>
    <row r="16" spans="1:25" ht="14.25" customHeight="1" x14ac:dyDescent="0.35">
      <c r="A16" t="s">
        <v>112</v>
      </c>
      <c r="B16">
        <v>24</v>
      </c>
      <c r="C16" t="s">
        <v>106</v>
      </c>
      <c r="D16" t="s">
        <v>27</v>
      </c>
      <c r="E16" t="s">
        <v>78</v>
      </c>
      <c r="F16" t="s">
        <v>46</v>
      </c>
      <c r="G16" t="s">
        <v>72</v>
      </c>
      <c r="H16" t="s">
        <v>107</v>
      </c>
      <c r="I16" t="s">
        <v>32</v>
      </c>
      <c r="J16" t="s">
        <v>33</v>
      </c>
      <c r="K16" t="s">
        <v>34</v>
      </c>
      <c r="L16" t="s">
        <v>50</v>
      </c>
      <c r="M16">
        <v>5</v>
      </c>
      <c r="N16" t="s">
        <v>36</v>
      </c>
      <c r="O16" t="s">
        <v>37</v>
      </c>
      <c r="P16" t="s">
        <v>38</v>
      </c>
      <c r="Q16" t="s">
        <v>59</v>
      </c>
      <c r="R16" t="s">
        <v>53</v>
      </c>
      <c r="S16" t="s">
        <v>32</v>
      </c>
      <c r="T16">
        <v>5</v>
      </c>
      <c r="U16" t="s">
        <v>60</v>
      </c>
      <c r="V16" t="s">
        <v>98</v>
      </c>
      <c r="W16" t="s">
        <v>32</v>
      </c>
      <c r="X16" t="s">
        <v>98</v>
      </c>
      <c r="Y16" t="s">
        <v>61</v>
      </c>
    </row>
    <row r="17" spans="1:25" ht="14.25" customHeight="1" x14ac:dyDescent="0.35">
      <c r="A17" t="s">
        <v>113</v>
      </c>
      <c r="B17">
        <v>37</v>
      </c>
      <c r="C17" t="s">
        <v>67</v>
      </c>
      <c r="D17" t="s">
        <v>27</v>
      </c>
      <c r="E17" t="s">
        <v>78</v>
      </c>
      <c r="F17" t="s">
        <v>29</v>
      </c>
      <c r="G17" t="s">
        <v>87</v>
      </c>
      <c r="H17" t="s">
        <v>48</v>
      </c>
      <c r="I17" t="s">
        <v>32</v>
      </c>
      <c r="J17" t="s">
        <v>49</v>
      </c>
      <c r="K17" t="s">
        <v>80</v>
      </c>
      <c r="L17" t="s">
        <v>80</v>
      </c>
      <c r="M17">
        <v>0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74</v>
      </c>
      <c r="T17" t="s">
        <v>82</v>
      </c>
      <c r="U17" t="s">
        <v>83</v>
      </c>
      <c r="V17" t="s">
        <v>114</v>
      </c>
      <c r="W17" t="s">
        <v>32</v>
      </c>
      <c r="X17" t="s">
        <v>114</v>
      </c>
      <c r="Y17" t="s">
        <v>85</v>
      </c>
    </row>
    <row r="18" spans="1:25" ht="14.25" customHeight="1" x14ac:dyDescent="0.35">
      <c r="A18" t="s">
        <v>115</v>
      </c>
      <c r="B18">
        <v>53</v>
      </c>
      <c r="C18" t="s">
        <v>63</v>
      </c>
      <c r="D18" t="s">
        <v>27</v>
      </c>
      <c r="E18" t="s">
        <v>78</v>
      </c>
      <c r="F18" t="s">
        <v>46</v>
      </c>
      <c r="G18" t="s">
        <v>47</v>
      </c>
      <c r="H18" t="s">
        <v>48</v>
      </c>
      <c r="I18" t="s">
        <v>32</v>
      </c>
      <c r="J18" t="s">
        <v>57</v>
      </c>
      <c r="K18" t="s">
        <v>34</v>
      </c>
      <c r="L18" t="s">
        <v>50</v>
      </c>
      <c r="M18">
        <v>4</v>
      </c>
      <c r="N18" t="s">
        <v>36</v>
      </c>
      <c r="O18" t="s">
        <v>37</v>
      </c>
      <c r="P18" t="s">
        <v>64</v>
      </c>
      <c r="Q18" t="s">
        <v>52</v>
      </c>
      <c r="R18" t="s">
        <v>116</v>
      </c>
      <c r="S18" t="s">
        <v>74</v>
      </c>
      <c r="T18">
        <v>3</v>
      </c>
      <c r="U18" t="s">
        <v>90</v>
      </c>
      <c r="V18" t="s">
        <v>98</v>
      </c>
      <c r="W18" t="s">
        <v>32</v>
      </c>
      <c r="X18" t="s">
        <v>98</v>
      </c>
      <c r="Y18" t="s">
        <v>76</v>
      </c>
    </row>
    <row r="19" spans="1:25" ht="14.25" customHeight="1" x14ac:dyDescent="0.35">
      <c r="A19" t="s">
        <v>117</v>
      </c>
      <c r="B19">
        <v>36</v>
      </c>
      <c r="C19" t="s">
        <v>67</v>
      </c>
      <c r="D19" t="s">
        <v>27</v>
      </c>
      <c r="E19" t="s">
        <v>118</v>
      </c>
      <c r="F19" t="s">
        <v>56</v>
      </c>
      <c r="G19" t="s">
        <v>30</v>
      </c>
      <c r="H19" t="s">
        <v>119</v>
      </c>
      <c r="I19" t="s">
        <v>32</v>
      </c>
      <c r="J19" t="s">
        <v>79</v>
      </c>
      <c r="K19" t="s">
        <v>80</v>
      </c>
      <c r="L19" t="s">
        <v>80</v>
      </c>
      <c r="M19">
        <v>0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74</v>
      </c>
      <c r="T19" t="s">
        <v>82</v>
      </c>
      <c r="U19" t="s">
        <v>83</v>
      </c>
      <c r="V19" t="s">
        <v>98</v>
      </c>
      <c r="W19" t="s">
        <v>32</v>
      </c>
      <c r="X19" t="s">
        <v>98</v>
      </c>
      <c r="Y19" t="s">
        <v>85</v>
      </c>
    </row>
    <row r="20" spans="1:25" ht="14.25" customHeight="1" x14ac:dyDescent="0.35">
      <c r="A20" t="s">
        <v>120</v>
      </c>
      <c r="B20">
        <v>31</v>
      </c>
      <c r="C20" t="s">
        <v>67</v>
      </c>
      <c r="D20" t="s">
        <v>27</v>
      </c>
      <c r="E20" t="s">
        <v>118</v>
      </c>
      <c r="F20" t="s">
        <v>46</v>
      </c>
      <c r="G20" t="s">
        <v>72</v>
      </c>
      <c r="H20" t="s">
        <v>48</v>
      </c>
      <c r="I20" t="s">
        <v>32</v>
      </c>
      <c r="J20" t="s">
        <v>79</v>
      </c>
      <c r="K20" t="s">
        <v>34</v>
      </c>
      <c r="L20" t="s">
        <v>103</v>
      </c>
      <c r="M20">
        <v>3</v>
      </c>
      <c r="N20" t="s">
        <v>36</v>
      </c>
      <c r="O20" t="s">
        <v>37</v>
      </c>
      <c r="P20" t="s">
        <v>64</v>
      </c>
      <c r="Q20" t="s">
        <v>65</v>
      </c>
      <c r="R20" t="s">
        <v>116</v>
      </c>
      <c r="S20" t="s">
        <v>32</v>
      </c>
      <c r="T20">
        <v>2</v>
      </c>
      <c r="U20" t="s">
        <v>121</v>
      </c>
      <c r="V20" t="s">
        <v>98</v>
      </c>
      <c r="W20" t="s">
        <v>32</v>
      </c>
      <c r="X20" t="s">
        <v>98</v>
      </c>
      <c r="Y20" t="s">
        <v>122</v>
      </c>
    </row>
    <row r="21" spans="1:25" ht="14.25" customHeight="1" x14ac:dyDescent="0.35">
      <c r="A21" t="s">
        <v>123</v>
      </c>
      <c r="B21">
        <v>30</v>
      </c>
      <c r="C21" t="s">
        <v>67</v>
      </c>
      <c r="D21" t="s">
        <v>27</v>
      </c>
      <c r="E21" t="s">
        <v>118</v>
      </c>
      <c r="F21" t="s">
        <v>29</v>
      </c>
      <c r="G21" t="s">
        <v>47</v>
      </c>
      <c r="H21" t="s">
        <v>48</v>
      </c>
      <c r="I21" t="s">
        <v>32</v>
      </c>
      <c r="J21" t="s">
        <v>92</v>
      </c>
      <c r="K21" t="s">
        <v>80</v>
      </c>
      <c r="L21" t="s">
        <v>80</v>
      </c>
      <c r="M21">
        <v>0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74</v>
      </c>
      <c r="T21" t="s">
        <v>82</v>
      </c>
      <c r="U21" t="s">
        <v>90</v>
      </c>
      <c r="V21" t="s">
        <v>114</v>
      </c>
      <c r="W21" t="s">
        <v>74</v>
      </c>
      <c r="X21" t="s">
        <v>114</v>
      </c>
      <c r="Y21" t="s">
        <v>124</v>
      </c>
    </row>
    <row r="22" spans="1:25" ht="14.25" customHeight="1" x14ac:dyDescent="0.35">
      <c r="A22" t="s">
        <v>125</v>
      </c>
      <c r="B22">
        <v>13</v>
      </c>
      <c r="C22" t="s">
        <v>26</v>
      </c>
      <c r="D22" t="s">
        <v>27</v>
      </c>
      <c r="E22" t="s">
        <v>28</v>
      </c>
      <c r="F22" t="s">
        <v>29</v>
      </c>
      <c r="G22" t="s">
        <v>87</v>
      </c>
      <c r="H22" t="s">
        <v>31</v>
      </c>
      <c r="I22" t="s">
        <v>32</v>
      </c>
      <c r="J22" t="s">
        <v>92</v>
      </c>
      <c r="K22" t="s">
        <v>34</v>
      </c>
      <c r="L22" t="s">
        <v>103</v>
      </c>
      <c r="M22">
        <v>3</v>
      </c>
      <c r="N22" t="s">
        <v>93</v>
      </c>
      <c r="O22" t="s">
        <v>126</v>
      </c>
      <c r="P22" t="s">
        <v>127</v>
      </c>
      <c r="Q22" t="s">
        <v>65</v>
      </c>
      <c r="R22" t="s">
        <v>116</v>
      </c>
      <c r="S22" t="s">
        <v>32</v>
      </c>
      <c r="T22">
        <v>2</v>
      </c>
      <c r="U22" t="s">
        <v>121</v>
      </c>
      <c r="V22" t="s">
        <v>84</v>
      </c>
      <c r="W22" t="s">
        <v>75</v>
      </c>
      <c r="X22" t="s">
        <v>84</v>
      </c>
      <c r="Y22" t="s">
        <v>122</v>
      </c>
    </row>
    <row r="23" spans="1:25" ht="14.25" customHeight="1" x14ac:dyDescent="0.35">
      <c r="A23" t="s">
        <v>128</v>
      </c>
      <c r="B23">
        <v>19</v>
      </c>
      <c r="C23" t="s">
        <v>26</v>
      </c>
      <c r="D23" t="s">
        <v>27</v>
      </c>
      <c r="E23" t="s">
        <v>55</v>
      </c>
      <c r="F23" t="s">
        <v>29</v>
      </c>
      <c r="G23" t="s">
        <v>30</v>
      </c>
      <c r="H23" t="s">
        <v>107</v>
      </c>
      <c r="I23" t="s">
        <v>74</v>
      </c>
      <c r="J23" t="s">
        <v>96</v>
      </c>
      <c r="K23" t="s">
        <v>80</v>
      </c>
      <c r="L23" t="s">
        <v>80</v>
      </c>
      <c r="M23">
        <v>0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74</v>
      </c>
      <c r="T23" t="s">
        <v>82</v>
      </c>
      <c r="U23" t="s">
        <v>97</v>
      </c>
      <c r="V23" t="s">
        <v>84</v>
      </c>
      <c r="W23" t="s">
        <v>75</v>
      </c>
      <c r="X23" t="s">
        <v>84</v>
      </c>
      <c r="Y23" t="s">
        <v>99</v>
      </c>
    </row>
    <row r="24" spans="1:25" ht="14.25" customHeight="1" x14ac:dyDescent="0.35">
      <c r="A24" t="s">
        <v>129</v>
      </c>
      <c r="B24">
        <v>56</v>
      </c>
      <c r="C24" t="s">
        <v>63</v>
      </c>
      <c r="D24" t="s">
        <v>27</v>
      </c>
      <c r="E24" t="s">
        <v>28</v>
      </c>
      <c r="F24" t="s">
        <v>46</v>
      </c>
      <c r="G24" t="s">
        <v>30</v>
      </c>
      <c r="H24" t="s">
        <v>48</v>
      </c>
      <c r="I24" t="s">
        <v>32</v>
      </c>
      <c r="J24" t="s">
        <v>57</v>
      </c>
      <c r="K24" t="s">
        <v>34</v>
      </c>
      <c r="L24" t="s">
        <v>103</v>
      </c>
      <c r="M24">
        <v>5</v>
      </c>
      <c r="N24" t="s">
        <v>88</v>
      </c>
      <c r="O24" t="s">
        <v>104</v>
      </c>
      <c r="P24" t="s">
        <v>64</v>
      </c>
      <c r="Q24" t="s">
        <v>52</v>
      </c>
      <c r="R24" t="s">
        <v>40</v>
      </c>
      <c r="S24" t="s">
        <v>32</v>
      </c>
      <c r="T24">
        <v>4</v>
      </c>
      <c r="U24" t="s">
        <v>41</v>
      </c>
      <c r="V24" t="s">
        <v>42</v>
      </c>
      <c r="W24" t="s">
        <v>74</v>
      </c>
      <c r="X24" t="s">
        <v>42</v>
      </c>
      <c r="Y24" t="s">
        <v>43</v>
      </c>
    </row>
    <row r="25" spans="1:25" ht="14.25" customHeight="1" x14ac:dyDescent="0.35">
      <c r="A25" t="s">
        <v>130</v>
      </c>
      <c r="B25">
        <v>41</v>
      </c>
      <c r="C25" t="s">
        <v>45</v>
      </c>
      <c r="D25" t="s">
        <v>27</v>
      </c>
      <c r="E25" t="s">
        <v>28</v>
      </c>
      <c r="F25" t="s">
        <v>46</v>
      </c>
      <c r="G25" t="s">
        <v>30</v>
      </c>
      <c r="H25" t="s">
        <v>48</v>
      </c>
      <c r="I25" t="s">
        <v>32</v>
      </c>
      <c r="J25" t="s">
        <v>57</v>
      </c>
      <c r="K25" t="s">
        <v>80</v>
      </c>
      <c r="L25" t="s">
        <v>80</v>
      </c>
      <c r="M25">
        <v>0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74</v>
      </c>
      <c r="T25" t="s">
        <v>82</v>
      </c>
      <c r="U25" t="s">
        <v>90</v>
      </c>
      <c r="V25" t="s">
        <v>98</v>
      </c>
      <c r="W25" t="s">
        <v>75</v>
      </c>
      <c r="X25" t="s">
        <v>98</v>
      </c>
      <c r="Y25" t="s">
        <v>124</v>
      </c>
    </row>
    <row r="26" spans="1:25" ht="14.25" customHeight="1" x14ac:dyDescent="0.35">
      <c r="A26" t="s">
        <v>131</v>
      </c>
      <c r="B26">
        <v>28</v>
      </c>
      <c r="C26" t="s">
        <v>106</v>
      </c>
      <c r="D26" t="s">
        <v>27</v>
      </c>
      <c r="E26" t="s">
        <v>28</v>
      </c>
      <c r="F26" t="s">
        <v>29</v>
      </c>
      <c r="G26" t="s">
        <v>87</v>
      </c>
      <c r="H26" t="s">
        <v>107</v>
      </c>
      <c r="I26" t="s">
        <v>32</v>
      </c>
      <c r="J26" t="s">
        <v>73</v>
      </c>
      <c r="K26" t="s">
        <v>80</v>
      </c>
      <c r="L26" t="s">
        <v>80</v>
      </c>
      <c r="M26">
        <v>0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74</v>
      </c>
      <c r="T26" t="s">
        <v>82</v>
      </c>
      <c r="U26" t="s">
        <v>110</v>
      </c>
      <c r="V26" t="s">
        <v>132</v>
      </c>
      <c r="W26" t="s">
        <v>32</v>
      </c>
      <c r="X26" t="s">
        <v>132</v>
      </c>
      <c r="Y26" t="s">
        <v>111</v>
      </c>
    </row>
    <row r="27" spans="1:25" ht="14.25" customHeight="1" x14ac:dyDescent="0.35">
      <c r="A27" t="s">
        <v>133</v>
      </c>
      <c r="B27">
        <v>18</v>
      </c>
      <c r="C27" t="s">
        <v>26</v>
      </c>
      <c r="D27" t="s">
        <v>27</v>
      </c>
      <c r="E27" t="s">
        <v>55</v>
      </c>
      <c r="F27" t="s">
        <v>29</v>
      </c>
      <c r="G27" t="s">
        <v>87</v>
      </c>
      <c r="H27" t="s">
        <v>107</v>
      </c>
      <c r="I27" t="s">
        <v>32</v>
      </c>
      <c r="J27" t="s">
        <v>33</v>
      </c>
      <c r="K27" t="s">
        <v>80</v>
      </c>
      <c r="L27" t="s">
        <v>80</v>
      </c>
      <c r="M27">
        <v>0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74</v>
      </c>
      <c r="T27" t="s">
        <v>82</v>
      </c>
      <c r="U27" t="s">
        <v>83</v>
      </c>
      <c r="V27" t="s">
        <v>84</v>
      </c>
      <c r="W27" t="s">
        <v>75</v>
      </c>
      <c r="X27" t="s">
        <v>84</v>
      </c>
      <c r="Y27" t="s">
        <v>85</v>
      </c>
    </row>
    <row r="28" spans="1:25" ht="14.25" customHeight="1" x14ac:dyDescent="0.35">
      <c r="A28" t="s">
        <v>134</v>
      </c>
      <c r="B28">
        <v>14</v>
      </c>
      <c r="C28" t="s">
        <v>26</v>
      </c>
      <c r="D28" t="s">
        <v>27</v>
      </c>
      <c r="E28" t="s">
        <v>28</v>
      </c>
      <c r="F28" t="s">
        <v>29</v>
      </c>
      <c r="G28" t="s">
        <v>87</v>
      </c>
      <c r="H28" t="s">
        <v>31</v>
      </c>
      <c r="I28" t="s">
        <v>32</v>
      </c>
      <c r="J28" t="s">
        <v>79</v>
      </c>
      <c r="K28" t="s">
        <v>34</v>
      </c>
      <c r="L28" t="s">
        <v>50</v>
      </c>
      <c r="M28">
        <v>1</v>
      </c>
      <c r="N28" t="s">
        <v>93</v>
      </c>
      <c r="O28" t="s">
        <v>89</v>
      </c>
      <c r="P28" t="s">
        <v>127</v>
      </c>
      <c r="Q28" t="s">
        <v>94</v>
      </c>
      <c r="R28" t="s">
        <v>101</v>
      </c>
      <c r="S28" t="s">
        <v>32</v>
      </c>
      <c r="T28">
        <v>1</v>
      </c>
      <c r="U28" t="s">
        <v>110</v>
      </c>
      <c r="V28" t="s">
        <v>84</v>
      </c>
      <c r="W28" t="s">
        <v>74</v>
      </c>
      <c r="X28" t="s">
        <v>84</v>
      </c>
      <c r="Y28" t="s">
        <v>135</v>
      </c>
    </row>
    <row r="29" spans="1:25" ht="14.25" customHeight="1" x14ac:dyDescent="0.35">
      <c r="A29" t="s">
        <v>136</v>
      </c>
      <c r="B29">
        <v>29</v>
      </c>
      <c r="C29" t="s">
        <v>106</v>
      </c>
      <c r="D29" t="s">
        <v>27</v>
      </c>
      <c r="E29" t="s">
        <v>28</v>
      </c>
      <c r="F29" t="s">
        <v>29</v>
      </c>
      <c r="G29" t="s">
        <v>30</v>
      </c>
      <c r="H29" t="s">
        <v>107</v>
      </c>
      <c r="I29" t="s">
        <v>32</v>
      </c>
      <c r="J29" t="s">
        <v>92</v>
      </c>
      <c r="K29" t="s">
        <v>34</v>
      </c>
      <c r="L29" t="s">
        <v>50</v>
      </c>
      <c r="M29">
        <v>2</v>
      </c>
      <c r="N29" t="s">
        <v>88</v>
      </c>
      <c r="O29" t="s">
        <v>104</v>
      </c>
      <c r="P29" t="s">
        <v>51</v>
      </c>
      <c r="Q29" t="s">
        <v>94</v>
      </c>
      <c r="R29" t="s">
        <v>101</v>
      </c>
      <c r="S29" t="s">
        <v>32</v>
      </c>
      <c r="T29">
        <v>1</v>
      </c>
      <c r="U29" t="s">
        <v>121</v>
      </c>
      <c r="V29" t="s">
        <v>84</v>
      </c>
      <c r="W29" t="s">
        <v>74</v>
      </c>
      <c r="X29" t="s">
        <v>84</v>
      </c>
      <c r="Y29" t="s">
        <v>122</v>
      </c>
    </row>
    <row r="30" spans="1:25" ht="14.25" customHeight="1" x14ac:dyDescent="0.35">
      <c r="A30" t="s">
        <v>137</v>
      </c>
      <c r="B30">
        <v>15</v>
      </c>
      <c r="C30" t="s">
        <v>26</v>
      </c>
      <c r="D30" t="s">
        <v>27</v>
      </c>
      <c r="E30" t="s">
        <v>55</v>
      </c>
      <c r="F30" t="s">
        <v>29</v>
      </c>
      <c r="G30" t="s">
        <v>47</v>
      </c>
      <c r="H30" t="s">
        <v>31</v>
      </c>
      <c r="I30" t="s">
        <v>32</v>
      </c>
      <c r="J30" t="s">
        <v>33</v>
      </c>
      <c r="K30" t="s">
        <v>34</v>
      </c>
      <c r="L30" t="s">
        <v>103</v>
      </c>
      <c r="M30">
        <v>5</v>
      </c>
      <c r="N30" t="s">
        <v>36</v>
      </c>
      <c r="O30" t="s">
        <v>37</v>
      </c>
      <c r="P30" t="s">
        <v>58</v>
      </c>
      <c r="Q30" t="s">
        <v>59</v>
      </c>
      <c r="R30" t="s">
        <v>53</v>
      </c>
      <c r="S30" t="s">
        <v>32</v>
      </c>
      <c r="T30">
        <v>4</v>
      </c>
      <c r="U30" t="s">
        <v>60</v>
      </c>
      <c r="V30" t="s">
        <v>84</v>
      </c>
      <c r="W30" t="s">
        <v>32</v>
      </c>
      <c r="X30" t="s">
        <v>84</v>
      </c>
      <c r="Y30" t="s">
        <v>61</v>
      </c>
    </row>
    <row r="31" spans="1:25" ht="14.25" customHeight="1" x14ac:dyDescent="0.35">
      <c r="A31" t="s">
        <v>138</v>
      </c>
      <c r="B31">
        <v>15</v>
      </c>
      <c r="C31" t="s">
        <v>26</v>
      </c>
      <c r="D31" t="s">
        <v>27</v>
      </c>
      <c r="E31" t="s">
        <v>55</v>
      </c>
      <c r="F31" t="s">
        <v>29</v>
      </c>
      <c r="G31" t="s">
        <v>87</v>
      </c>
      <c r="H31" t="s">
        <v>31</v>
      </c>
      <c r="I31" t="s">
        <v>32</v>
      </c>
      <c r="J31" t="s">
        <v>49</v>
      </c>
      <c r="K31" t="s">
        <v>34</v>
      </c>
      <c r="L31" t="s">
        <v>103</v>
      </c>
      <c r="M31">
        <v>2</v>
      </c>
      <c r="N31" t="s">
        <v>88</v>
      </c>
      <c r="O31" t="s">
        <v>89</v>
      </c>
      <c r="P31" t="s">
        <v>51</v>
      </c>
      <c r="Q31" t="s">
        <v>52</v>
      </c>
      <c r="R31" t="s">
        <v>116</v>
      </c>
      <c r="S31" t="s">
        <v>32</v>
      </c>
      <c r="T31">
        <v>2</v>
      </c>
      <c r="U31" t="s">
        <v>60</v>
      </c>
      <c r="V31" t="s">
        <v>84</v>
      </c>
      <c r="W31" t="s">
        <v>75</v>
      </c>
      <c r="X31" t="s">
        <v>84</v>
      </c>
      <c r="Y31" t="s">
        <v>61</v>
      </c>
    </row>
    <row r="32" spans="1:25" ht="14.25" customHeight="1" x14ac:dyDescent="0.35">
      <c r="A32" t="s">
        <v>139</v>
      </c>
      <c r="B32">
        <v>36</v>
      </c>
      <c r="C32" t="s">
        <v>67</v>
      </c>
      <c r="D32" t="s">
        <v>27</v>
      </c>
      <c r="E32" t="s">
        <v>28</v>
      </c>
      <c r="F32" t="s">
        <v>29</v>
      </c>
      <c r="G32" t="s">
        <v>87</v>
      </c>
      <c r="H32" t="s">
        <v>48</v>
      </c>
      <c r="I32" t="s">
        <v>32</v>
      </c>
      <c r="J32" t="s">
        <v>92</v>
      </c>
      <c r="K32" t="s">
        <v>80</v>
      </c>
      <c r="L32" t="s">
        <v>80</v>
      </c>
      <c r="M32">
        <v>0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74</v>
      </c>
      <c r="T32" t="s">
        <v>82</v>
      </c>
      <c r="U32" t="s">
        <v>83</v>
      </c>
      <c r="V32" t="s">
        <v>114</v>
      </c>
      <c r="W32" t="s">
        <v>32</v>
      </c>
      <c r="X32" t="s">
        <v>114</v>
      </c>
      <c r="Y32" t="s">
        <v>85</v>
      </c>
    </row>
    <row r="33" spans="1:25" ht="14.25" customHeight="1" x14ac:dyDescent="0.35">
      <c r="A33" t="s">
        <v>140</v>
      </c>
      <c r="B33">
        <v>14</v>
      </c>
      <c r="C33" t="s">
        <v>26</v>
      </c>
      <c r="D33" t="s">
        <v>27</v>
      </c>
      <c r="E33" t="s">
        <v>28</v>
      </c>
      <c r="F33" t="s">
        <v>29</v>
      </c>
      <c r="G33" t="s">
        <v>87</v>
      </c>
      <c r="H33" t="s">
        <v>31</v>
      </c>
      <c r="I33" t="s">
        <v>32</v>
      </c>
      <c r="J33" t="s">
        <v>92</v>
      </c>
      <c r="K33" t="s">
        <v>34</v>
      </c>
      <c r="L33" t="s">
        <v>50</v>
      </c>
      <c r="M33">
        <v>3</v>
      </c>
      <c r="N33" t="s">
        <v>93</v>
      </c>
      <c r="O33" t="s">
        <v>89</v>
      </c>
      <c r="P33" t="s">
        <v>127</v>
      </c>
      <c r="Q33" t="s">
        <v>94</v>
      </c>
      <c r="R33" t="s">
        <v>116</v>
      </c>
      <c r="S33" t="s">
        <v>32</v>
      </c>
      <c r="T33">
        <v>2</v>
      </c>
      <c r="U33" t="s">
        <v>41</v>
      </c>
      <c r="V33" t="s">
        <v>42</v>
      </c>
      <c r="W33" t="s">
        <v>74</v>
      </c>
      <c r="X33" t="s">
        <v>42</v>
      </c>
      <c r="Y33" t="s">
        <v>43</v>
      </c>
    </row>
    <row r="34" spans="1:25" ht="14.25" customHeight="1" x14ac:dyDescent="0.35">
      <c r="A34" t="s">
        <v>141</v>
      </c>
      <c r="B34">
        <v>14</v>
      </c>
      <c r="C34" t="s">
        <v>26</v>
      </c>
      <c r="D34" t="s">
        <v>27</v>
      </c>
      <c r="E34" t="s">
        <v>55</v>
      </c>
      <c r="F34" t="s">
        <v>68</v>
      </c>
      <c r="G34" t="s">
        <v>87</v>
      </c>
      <c r="H34" t="s">
        <v>31</v>
      </c>
      <c r="I34" t="s">
        <v>32</v>
      </c>
      <c r="J34" t="s">
        <v>69</v>
      </c>
      <c r="K34" t="s">
        <v>34</v>
      </c>
      <c r="L34" t="s">
        <v>50</v>
      </c>
      <c r="M34">
        <v>2</v>
      </c>
      <c r="N34" t="s">
        <v>93</v>
      </c>
      <c r="O34" t="s">
        <v>142</v>
      </c>
      <c r="P34" t="s">
        <v>127</v>
      </c>
      <c r="Q34" t="s">
        <v>94</v>
      </c>
      <c r="R34" t="s">
        <v>101</v>
      </c>
      <c r="S34" t="s">
        <v>32</v>
      </c>
      <c r="T34">
        <v>2</v>
      </c>
      <c r="U34" t="s">
        <v>60</v>
      </c>
      <c r="V34" t="s">
        <v>98</v>
      </c>
      <c r="W34" t="s">
        <v>74</v>
      </c>
      <c r="X34" t="s">
        <v>98</v>
      </c>
      <c r="Y34" t="s">
        <v>61</v>
      </c>
    </row>
    <row r="35" spans="1:25" ht="14.25" customHeight="1" x14ac:dyDescent="0.35">
      <c r="A35" t="s">
        <v>143</v>
      </c>
      <c r="B35">
        <v>46</v>
      </c>
      <c r="C35" t="s">
        <v>45</v>
      </c>
      <c r="D35" t="s">
        <v>27</v>
      </c>
      <c r="E35" t="s">
        <v>78</v>
      </c>
      <c r="F35" t="s">
        <v>56</v>
      </c>
      <c r="G35" t="s">
        <v>87</v>
      </c>
      <c r="H35" t="s">
        <v>48</v>
      </c>
      <c r="I35" t="s">
        <v>32</v>
      </c>
      <c r="J35" t="s">
        <v>73</v>
      </c>
      <c r="K35" t="s">
        <v>34</v>
      </c>
      <c r="L35" t="s">
        <v>103</v>
      </c>
      <c r="M35">
        <v>4</v>
      </c>
      <c r="N35" t="s">
        <v>88</v>
      </c>
      <c r="O35" t="s">
        <v>89</v>
      </c>
      <c r="P35" t="s">
        <v>64</v>
      </c>
      <c r="Q35" t="s">
        <v>52</v>
      </c>
      <c r="R35" t="s">
        <v>40</v>
      </c>
      <c r="S35" t="s">
        <v>74</v>
      </c>
      <c r="T35">
        <v>3</v>
      </c>
      <c r="U35" t="s">
        <v>60</v>
      </c>
      <c r="V35" t="s">
        <v>84</v>
      </c>
      <c r="W35" t="s">
        <v>74</v>
      </c>
      <c r="X35" t="s">
        <v>84</v>
      </c>
      <c r="Y35" t="s">
        <v>76</v>
      </c>
    </row>
    <row r="36" spans="1:25" ht="14.25" customHeight="1" x14ac:dyDescent="0.35">
      <c r="A36" t="s">
        <v>144</v>
      </c>
      <c r="B36">
        <v>39</v>
      </c>
      <c r="C36" t="s">
        <v>67</v>
      </c>
      <c r="D36" t="s">
        <v>27</v>
      </c>
      <c r="E36" t="s">
        <v>28</v>
      </c>
      <c r="F36" t="s">
        <v>29</v>
      </c>
      <c r="G36" t="s">
        <v>30</v>
      </c>
      <c r="H36" t="s">
        <v>48</v>
      </c>
      <c r="I36" t="s">
        <v>32</v>
      </c>
      <c r="J36" t="s">
        <v>73</v>
      </c>
      <c r="K36" t="s">
        <v>34</v>
      </c>
      <c r="L36" t="s">
        <v>103</v>
      </c>
      <c r="M36">
        <v>2</v>
      </c>
      <c r="N36" t="s">
        <v>88</v>
      </c>
      <c r="O36" t="s">
        <v>104</v>
      </c>
      <c r="P36" t="s">
        <v>64</v>
      </c>
      <c r="Q36" t="s">
        <v>52</v>
      </c>
      <c r="R36" t="s">
        <v>116</v>
      </c>
      <c r="S36" t="s">
        <v>32</v>
      </c>
      <c r="T36">
        <v>3</v>
      </c>
      <c r="U36" t="s">
        <v>110</v>
      </c>
      <c r="V36" t="s">
        <v>84</v>
      </c>
      <c r="W36" t="s">
        <v>74</v>
      </c>
      <c r="X36" t="s">
        <v>84</v>
      </c>
      <c r="Y36" t="s">
        <v>135</v>
      </c>
    </row>
    <row r="37" spans="1:25" ht="14.25" customHeight="1" x14ac:dyDescent="0.35">
      <c r="A37" t="s">
        <v>145</v>
      </c>
      <c r="B37">
        <v>41</v>
      </c>
      <c r="C37" t="s">
        <v>45</v>
      </c>
      <c r="D37" t="s">
        <v>27</v>
      </c>
      <c r="E37" t="s">
        <v>118</v>
      </c>
      <c r="F37" t="s">
        <v>56</v>
      </c>
      <c r="G37" t="s">
        <v>30</v>
      </c>
      <c r="H37" t="s">
        <v>48</v>
      </c>
      <c r="I37" t="s">
        <v>74</v>
      </c>
      <c r="J37" t="s">
        <v>96</v>
      </c>
      <c r="K37" t="s">
        <v>80</v>
      </c>
      <c r="L37" t="s">
        <v>80</v>
      </c>
      <c r="M37">
        <v>0</v>
      </c>
      <c r="N37" t="s">
        <v>81</v>
      </c>
      <c r="O37" t="s">
        <v>81</v>
      </c>
      <c r="P37" t="s">
        <v>81</v>
      </c>
      <c r="Q37" t="s">
        <v>81</v>
      </c>
      <c r="R37" t="s">
        <v>81</v>
      </c>
      <c r="S37" t="s">
        <v>74</v>
      </c>
      <c r="T37" t="s">
        <v>82</v>
      </c>
      <c r="U37" t="s">
        <v>97</v>
      </c>
      <c r="V37" t="s">
        <v>98</v>
      </c>
      <c r="W37" t="s">
        <v>74</v>
      </c>
      <c r="X37" t="s">
        <v>98</v>
      </c>
      <c r="Y37" t="s">
        <v>99</v>
      </c>
    </row>
    <row r="38" spans="1:25" ht="14.25" customHeight="1" x14ac:dyDescent="0.35">
      <c r="A38" t="s">
        <v>146</v>
      </c>
      <c r="B38">
        <v>61</v>
      </c>
      <c r="C38" t="s">
        <v>63</v>
      </c>
      <c r="D38" t="s">
        <v>27</v>
      </c>
      <c r="E38" t="s">
        <v>33</v>
      </c>
      <c r="F38" t="s">
        <v>68</v>
      </c>
      <c r="G38" t="s">
        <v>30</v>
      </c>
      <c r="H38" t="s">
        <v>48</v>
      </c>
      <c r="I38" t="s">
        <v>32</v>
      </c>
      <c r="J38" t="s">
        <v>69</v>
      </c>
      <c r="K38" t="s">
        <v>80</v>
      </c>
      <c r="L38" t="s">
        <v>80</v>
      </c>
      <c r="M38">
        <v>0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74</v>
      </c>
      <c r="T38" t="s">
        <v>82</v>
      </c>
      <c r="U38" t="s">
        <v>147</v>
      </c>
      <c r="V38" t="s">
        <v>84</v>
      </c>
      <c r="W38" t="s">
        <v>75</v>
      </c>
      <c r="X38" t="s">
        <v>84</v>
      </c>
      <c r="Y38" t="s">
        <v>148</v>
      </c>
    </row>
    <row r="39" spans="1:25" ht="14.25" customHeight="1" x14ac:dyDescent="0.35">
      <c r="A39" t="s">
        <v>149</v>
      </c>
      <c r="B39">
        <v>20</v>
      </c>
      <c r="C39" t="s">
        <v>106</v>
      </c>
      <c r="D39" t="s">
        <v>27</v>
      </c>
      <c r="E39" t="s">
        <v>28</v>
      </c>
      <c r="F39" t="s">
        <v>29</v>
      </c>
      <c r="G39" t="s">
        <v>30</v>
      </c>
      <c r="H39" t="s">
        <v>107</v>
      </c>
      <c r="I39" t="s">
        <v>32</v>
      </c>
      <c r="J39" t="s">
        <v>92</v>
      </c>
      <c r="K39" t="s">
        <v>34</v>
      </c>
      <c r="L39" t="s">
        <v>103</v>
      </c>
      <c r="M39">
        <v>2</v>
      </c>
      <c r="N39" t="s">
        <v>88</v>
      </c>
      <c r="O39" t="s">
        <v>89</v>
      </c>
      <c r="P39" t="s">
        <v>51</v>
      </c>
      <c r="Q39" t="s">
        <v>65</v>
      </c>
      <c r="R39" t="s">
        <v>101</v>
      </c>
      <c r="S39" t="s">
        <v>74</v>
      </c>
      <c r="T39">
        <v>3</v>
      </c>
      <c r="U39" t="s">
        <v>90</v>
      </c>
      <c r="V39" t="s">
        <v>84</v>
      </c>
      <c r="W39" t="s">
        <v>74</v>
      </c>
      <c r="X39" t="s">
        <v>84</v>
      </c>
      <c r="Y39" t="s">
        <v>76</v>
      </c>
    </row>
    <row r="40" spans="1:25" ht="14.25" customHeight="1" x14ac:dyDescent="0.35">
      <c r="A40" t="s">
        <v>150</v>
      </c>
      <c r="B40">
        <v>15</v>
      </c>
      <c r="C40" t="s">
        <v>26</v>
      </c>
      <c r="D40" t="s">
        <v>27</v>
      </c>
      <c r="E40" t="s">
        <v>55</v>
      </c>
      <c r="F40" t="s">
        <v>29</v>
      </c>
      <c r="G40" t="s">
        <v>87</v>
      </c>
      <c r="H40" t="s">
        <v>31</v>
      </c>
      <c r="I40" t="s">
        <v>32</v>
      </c>
      <c r="J40" t="s">
        <v>49</v>
      </c>
      <c r="K40" t="s">
        <v>34</v>
      </c>
      <c r="L40" t="s">
        <v>50</v>
      </c>
      <c r="M40">
        <v>3</v>
      </c>
      <c r="N40" t="s">
        <v>93</v>
      </c>
      <c r="O40" t="s">
        <v>126</v>
      </c>
      <c r="P40" t="s">
        <v>127</v>
      </c>
      <c r="Q40" t="s">
        <v>94</v>
      </c>
      <c r="R40" t="s">
        <v>116</v>
      </c>
      <c r="S40" t="s">
        <v>32</v>
      </c>
      <c r="T40">
        <v>2</v>
      </c>
      <c r="U40" t="s">
        <v>121</v>
      </c>
      <c r="V40" t="s">
        <v>98</v>
      </c>
      <c r="W40" t="s">
        <v>74</v>
      </c>
      <c r="X40" t="s">
        <v>98</v>
      </c>
      <c r="Y40" t="s">
        <v>122</v>
      </c>
    </row>
    <row r="41" spans="1:25" ht="14.25" customHeight="1" x14ac:dyDescent="0.35">
      <c r="A41" t="s">
        <v>151</v>
      </c>
      <c r="B41">
        <v>16</v>
      </c>
      <c r="C41" t="s">
        <v>26</v>
      </c>
      <c r="D41" t="s">
        <v>27</v>
      </c>
      <c r="E41" t="s">
        <v>28</v>
      </c>
      <c r="F41" t="s">
        <v>68</v>
      </c>
      <c r="G41" t="s">
        <v>47</v>
      </c>
      <c r="H41" t="s">
        <v>31</v>
      </c>
      <c r="I41" t="s">
        <v>74</v>
      </c>
      <c r="J41" t="s">
        <v>96</v>
      </c>
      <c r="K41" t="s">
        <v>80</v>
      </c>
      <c r="L41" t="s">
        <v>80</v>
      </c>
      <c r="M41">
        <v>0</v>
      </c>
      <c r="N41" t="s">
        <v>81</v>
      </c>
      <c r="O41" t="s">
        <v>81</v>
      </c>
      <c r="P41" t="s">
        <v>81</v>
      </c>
      <c r="Q41" t="s">
        <v>81</v>
      </c>
      <c r="R41" t="s">
        <v>81</v>
      </c>
      <c r="S41" t="s">
        <v>74</v>
      </c>
      <c r="T41" t="s">
        <v>82</v>
      </c>
      <c r="U41" t="s">
        <v>97</v>
      </c>
      <c r="V41" t="s">
        <v>132</v>
      </c>
      <c r="W41" t="s">
        <v>32</v>
      </c>
      <c r="X41" t="s">
        <v>132</v>
      </c>
      <c r="Y41" t="s">
        <v>99</v>
      </c>
    </row>
    <row r="42" spans="1:25" ht="14.25" customHeight="1" x14ac:dyDescent="0.35">
      <c r="A42" t="s">
        <v>152</v>
      </c>
      <c r="B42">
        <v>60</v>
      </c>
      <c r="C42" t="s">
        <v>63</v>
      </c>
      <c r="D42" t="s">
        <v>27</v>
      </c>
      <c r="E42" t="s">
        <v>33</v>
      </c>
      <c r="F42" t="s">
        <v>29</v>
      </c>
      <c r="G42" t="s">
        <v>47</v>
      </c>
      <c r="H42" t="s">
        <v>48</v>
      </c>
      <c r="I42" t="s">
        <v>32</v>
      </c>
      <c r="J42" t="s">
        <v>49</v>
      </c>
      <c r="K42" t="s">
        <v>34</v>
      </c>
      <c r="L42" t="s">
        <v>103</v>
      </c>
      <c r="M42">
        <v>4</v>
      </c>
      <c r="N42" t="s">
        <v>88</v>
      </c>
      <c r="O42" t="s">
        <v>104</v>
      </c>
      <c r="P42" t="s">
        <v>127</v>
      </c>
      <c r="Q42" t="s">
        <v>65</v>
      </c>
      <c r="R42" t="s">
        <v>53</v>
      </c>
      <c r="S42" t="s">
        <v>32</v>
      </c>
      <c r="T42">
        <v>2</v>
      </c>
      <c r="U42" t="s">
        <v>41</v>
      </c>
      <c r="V42" t="s">
        <v>42</v>
      </c>
      <c r="W42" t="s">
        <v>74</v>
      </c>
      <c r="X42" t="s">
        <v>42</v>
      </c>
      <c r="Y42" t="s">
        <v>43</v>
      </c>
    </row>
    <row r="43" spans="1:25" ht="14.25" customHeight="1" x14ac:dyDescent="0.35">
      <c r="A43" t="s">
        <v>153</v>
      </c>
      <c r="B43">
        <v>17</v>
      </c>
      <c r="C43" t="s">
        <v>26</v>
      </c>
      <c r="D43" t="s">
        <v>27</v>
      </c>
      <c r="E43" t="s">
        <v>55</v>
      </c>
      <c r="F43" t="s">
        <v>29</v>
      </c>
      <c r="G43" t="s">
        <v>47</v>
      </c>
      <c r="H43" t="s">
        <v>31</v>
      </c>
      <c r="I43" t="s">
        <v>32</v>
      </c>
      <c r="J43" t="s">
        <v>33</v>
      </c>
      <c r="K43" t="s">
        <v>34</v>
      </c>
      <c r="L43" t="s">
        <v>50</v>
      </c>
      <c r="M43">
        <v>3</v>
      </c>
      <c r="N43" t="s">
        <v>36</v>
      </c>
      <c r="O43" t="s">
        <v>37</v>
      </c>
      <c r="P43" t="s">
        <v>58</v>
      </c>
      <c r="Q43" t="s">
        <v>59</v>
      </c>
      <c r="R43" t="s">
        <v>40</v>
      </c>
      <c r="S43" t="s">
        <v>32</v>
      </c>
      <c r="T43">
        <v>3</v>
      </c>
      <c r="U43" t="s">
        <v>60</v>
      </c>
      <c r="V43" t="s">
        <v>114</v>
      </c>
      <c r="W43" t="s">
        <v>32</v>
      </c>
      <c r="X43" t="s">
        <v>114</v>
      </c>
      <c r="Y43" t="s">
        <v>61</v>
      </c>
    </row>
    <row r="44" spans="1:25" ht="14.25" customHeight="1" x14ac:dyDescent="0.35">
      <c r="A44" t="s">
        <v>154</v>
      </c>
      <c r="B44">
        <v>44</v>
      </c>
      <c r="C44" t="s">
        <v>45</v>
      </c>
      <c r="D44" t="s">
        <v>27</v>
      </c>
      <c r="E44" t="s">
        <v>33</v>
      </c>
      <c r="F44" t="s">
        <v>56</v>
      </c>
      <c r="G44" t="s">
        <v>47</v>
      </c>
      <c r="H44" t="s">
        <v>119</v>
      </c>
      <c r="I44" t="s">
        <v>32</v>
      </c>
      <c r="J44" t="s">
        <v>79</v>
      </c>
      <c r="K44" t="s">
        <v>34</v>
      </c>
      <c r="L44" t="s">
        <v>103</v>
      </c>
      <c r="M44">
        <v>2</v>
      </c>
      <c r="N44" t="s">
        <v>88</v>
      </c>
      <c r="O44" t="s">
        <v>104</v>
      </c>
      <c r="P44" t="s">
        <v>127</v>
      </c>
      <c r="Q44" t="s">
        <v>94</v>
      </c>
      <c r="R44" t="s">
        <v>101</v>
      </c>
      <c r="S44" t="s">
        <v>32</v>
      </c>
      <c r="T44">
        <v>1</v>
      </c>
      <c r="U44" t="s">
        <v>90</v>
      </c>
      <c r="V44" t="s">
        <v>84</v>
      </c>
      <c r="W44" t="s">
        <v>74</v>
      </c>
      <c r="X44" t="s">
        <v>84</v>
      </c>
      <c r="Y44" t="s">
        <v>108</v>
      </c>
    </row>
    <row r="45" spans="1:25" ht="14.25" customHeight="1" x14ac:dyDescent="0.35">
      <c r="A45" t="s">
        <v>155</v>
      </c>
      <c r="B45">
        <v>57</v>
      </c>
      <c r="C45" t="s">
        <v>63</v>
      </c>
      <c r="D45" t="s">
        <v>27</v>
      </c>
      <c r="E45" t="s">
        <v>78</v>
      </c>
      <c r="F45" t="s">
        <v>68</v>
      </c>
      <c r="G45" t="s">
        <v>30</v>
      </c>
      <c r="H45" t="s">
        <v>48</v>
      </c>
      <c r="I45" t="s">
        <v>32</v>
      </c>
      <c r="J45" t="s">
        <v>79</v>
      </c>
      <c r="K45" t="s">
        <v>80</v>
      </c>
      <c r="L45" t="s">
        <v>80</v>
      </c>
      <c r="M45">
        <v>0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74</v>
      </c>
      <c r="T45" t="s">
        <v>82</v>
      </c>
      <c r="U45" t="s">
        <v>110</v>
      </c>
      <c r="V45" t="s">
        <v>84</v>
      </c>
      <c r="W45" t="s">
        <v>75</v>
      </c>
      <c r="X45" t="s">
        <v>84</v>
      </c>
      <c r="Y45" t="s">
        <v>111</v>
      </c>
    </row>
    <row r="46" spans="1:25" ht="14.25" customHeight="1" x14ac:dyDescent="0.35">
      <c r="A46" t="s">
        <v>156</v>
      </c>
      <c r="B46">
        <v>18</v>
      </c>
      <c r="C46" t="s">
        <v>26</v>
      </c>
      <c r="D46" t="s">
        <v>27</v>
      </c>
      <c r="E46" t="s">
        <v>55</v>
      </c>
      <c r="F46" t="s">
        <v>68</v>
      </c>
      <c r="G46" t="s">
        <v>72</v>
      </c>
      <c r="H46" t="s">
        <v>107</v>
      </c>
      <c r="I46" t="s">
        <v>32</v>
      </c>
      <c r="J46" t="s">
        <v>79</v>
      </c>
      <c r="K46" t="s">
        <v>34</v>
      </c>
      <c r="L46" t="s">
        <v>50</v>
      </c>
      <c r="M46">
        <v>3</v>
      </c>
      <c r="N46" t="s">
        <v>88</v>
      </c>
      <c r="O46" t="s">
        <v>89</v>
      </c>
      <c r="P46" t="s">
        <v>51</v>
      </c>
      <c r="Q46" t="s">
        <v>65</v>
      </c>
      <c r="R46" t="s">
        <v>116</v>
      </c>
      <c r="S46" t="s">
        <v>74</v>
      </c>
      <c r="T46">
        <v>2</v>
      </c>
      <c r="U46" t="s">
        <v>60</v>
      </c>
      <c r="V46" t="s">
        <v>42</v>
      </c>
      <c r="W46" t="s">
        <v>74</v>
      </c>
      <c r="X46" t="s">
        <v>42</v>
      </c>
      <c r="Y46" t="s">
        <v>76</v>
      </c>
    </row>
    <row r="47" spans="1:25" ht="14.25" customHeight="1" x14ac:dyDescent="0.35">
      <c r="A47" t="s">
        <v>157</v>
      </c>
      <c r="B47">
        <v>42</v>
      </c>
      <c r="C47" t="s">
        <v>45</v>
      </c>
      <c r="D47" t="s">
        <v>27</v>
      </c>
      <c r="E47" t="s">
        <v>78</v>
      </c>
      <c r="F47" t="s">
        <v>29</v>
      </c>
      <c r="G47" t="s">
        <v>87</v>
      </c>
      <c r="H47" t="s">
        <v>48</v>
      </c>
      <c r="I47" t="s">
        <v>32</v>
      </c>
      <c r="J47" t="s">
        <v>92</v>
      </c>
      <c r="K47" t="s">
        <v>80</v>
      </c>
      <c r="L47" t="s">
        <v>80</v>
      </c>
      <c r="M47">
        <v>0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74</v>
      </c>
      <c r="T47" t="s">
        <v>82</v>
      </c>
      <c r="U47" t="s">
        <v>83</v>
      </c>
      <c r="V47" t="s">
        <v>42</v>
      </c>
      <c r="W47" t="s">
        <v>75</v>
      </c>
      <c r="X47" t="s">
        <v>42</v>
      </c>
      <c r="Y47" t="s">
        <v>85</v>
      </c>
    </row>
    <row r="48" spans="1:25" ht="14.25" customHeight="1" x14ac:dyDescent="0.35">
      <c r="A48" t="s">
        <v>158</v>
      </c>
      <c r="B48">
        <v>13</v>
      </c>
      <c r="C48" t="s">
        <v>26</v>
      </c>
      <c r="D48" t="s">
        <v>27</v>
      </c>
      <c r="E48" t="s">
        <v>28</v>
      </c>
      <c r="F48" t="s">
        <v>46</v>
      </c>
      <c r="G48" t="s">
        <v>72</v>
      </c>
      <c r="H48" t="s">
        <v>31</v>
      </c>
      <c r="I48" t="s">
        <v>74</v>
      </c>
      <c r="J48" t="s">
        <v>96</v>
      </c>
      <c r="K48" t="s">
        <v>80</v>
      </c>
      <c r="L48" t="s">
        <v>80</v>
      </c>
      <c r="M48">
        <v>0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74</v>
      </c>
      <c r="T48" t="s">
        <v>82</v>
      </c>
      <c r="U48" t="s">
        <v>97</v>
      </c>
      <c r="V48" t="s">
        <v>84</v>
      </c>
      <c r="W48" t="s">
        <v>74</v>
      </c>
      <c r="X48" t="s">
        <v>84</v>
      </c>
      <c r="Y48" t="s">
        <v>99</v>
      </c>
    </row>
    <row r="49" spans="1:25" ht="14.25" customHeight="1" x14ac:dyDescent="0.35">
      <c r="A49" t="s">
        <v>159</v>
      </c>
      <c r="B49">
        <v>14</v>
      </c>
      <c r="C49" t="s">
        <v>26</v>
      </c>
      <c r="D49" t="s">
        <v>27</v>
      </c>
      <c r="E49" t="s">
        <v>55</v>
      </c>
      <c r="F49" t="s">
        <v>29</v>
      </c>
      <c r="G49" t="s">
        <v>30</v>
      </c>
      <c r="H49" t="s">
        <v>31</v>
      </c>
      <c r="I49" t="s">
        <v>32</v>
      </c>
      <c r="J49" t="s">
        <v>73</v>
      </c>
      <c r="K49" t="s">
        <v>80</v>
      </c>
      <c r="L49" t="s">
        <v>80</v>
      </c>
      <c r="M49">
        <v>0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74</v>
      </c>
      <c r="T49" t="s">
        <v>82</v>
      </c>
      <c r="U49" t="s">
        <v>147</v>
      </c>
      <c r="V49" t="s">
        <v>42</v>
      </c>
      <c r="W49" t="s">
        <v>74</v>
      </c>
      <c r="X49" t="s">
        <v>42</v>
      </c>
      <c r="Y49" t="s">
        <v>148</v>
      </c>
    </row>
    <row r="50" spans="1:25" ht="14.25" customHeight="1" x14ac:dyDescent="0.35">
      <c r="A50" t="s">
        <v>160</v>
      </c>
      <c r="B50">
        <v>24</v>
      </c>
      <c r="C50" t="s">
        <v>106</v>
      </c>
      <c r="D50" t="s">
        <v>27</v>
      </c>
      <c r="E50" t="s">
        <v>28</v>
      </c>
      <c r="F50" t="s">
        <v>46</v>
      </c>
      <c r="G50" t="s">
        <v>47</v>
      </c>
      <c r="H50" t="s">
        <v>107</v>
      </c>
      <c r="I50" t="s">
        <v>74</v>
      </c>
      <c r="J50" t="s">
        <v>96</v>
      </c>
      <c r="K50" t="s">
        <v>80</v>
      </c>
      <c r="L50" t="s">
        <v>80</v>
      </c>
      <c r="M50">
        <v>0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74</v>
      </c>
      <c r="T50" t="s">
        <v>82</v>
      </c>
      <c r="U50" t="s">
        <v>97</v>
      </c>
      <c r="V50" t="s">
        <v>84</v>
      </c>
      <c r="W50" t="s">
        <v>74</v>
      </c>
      <c r="X50" t="s">
        <v>84</v>
      </c>
      <c r="Y50" t="s">
        <v>99</v>
      </c>
    </row>
    <row r="51" spans="1:25" ht="14.25" customHeight="1" x14ac:dyDescent="0.35">
      <c r="A51" t="s">
        <v>161</v>
      </c>
      <c r="B51">
        <v>41</v>
      </c>
      <c r="C51" t="s">
        <v>45</v>
      </c>
      <c r="D51" t="s">
        <v>27</v>
      </c>
      <c r="E51" t="s">
        <v>28</v>
      </c>
      <c r="F51" t="s">
        <v>68</v>
      </c>
      <c r="G51" t="s">
        <v>87</v>
      </c>
      <c r="H51" t="s">
        <v>48</v>
      </c>
      <c r="I51" t="s">
        <v>32</v>
      </c>
      <c r="J51" t="s">
        <v>49</v>
      </c>
      <c r="K51" t="s">
        <v>34</v>
      </c>
      <c r="L51" t="s">
        <v>50</v>
      </c>
      <c r="M51">
        <v>1</v>
      </c>
      <c r="N51" t="s">
        <v>88</v>
      </c>
      <c r="O51" t="s">
        <v>104</v>
      </c>
      <c r="P51" t="s">
        <v>51</v>
      </c>
      <c r="Q51" t="s">
        <v>65</v>
      </c>
      <c r="R51" t="s">
        <v>101</v>
      </c>
      <c r="S51" t="s">
        <v>74</v>
      </c>
      <c r="T51">
        <v>1</v>
      </c>
      <c r="U51" t="s">
        <v>121</v>
      </c>
      <c r="V51" t="s">
        <v>84</v>
      </c>
      <c r="W51" t="s">
        <v>32</v>
      </c>
      <c r="X51" t="s">
        <v>84</v>
      </c>
      <c r="Y51" t="s">
        <v>76</v>
      </c>
    </row>
    <row r="52" spans="1:25" ht="14.25" customHeight="1" x14ac:dyDescent="0.35">
      <c r="A52" t="s">
        <v>162</v>
      </c>
      <c r="B52">
        <v>13</v>
      </c>
      <c r="C52" t="s">
        <v>26</v>
      </c>
      <c r="D52" t="s">
        <v>27</v>
      </c>
      <c r="E52" t="s">
        <v>55</v>
      </c>
      <c r="F52" t="s">
        <v>29</v>
      </c>
      <c r="G52" t="s">
        <v>30</v>
      </c>
      <c r="H52" t="s">
        <v>31</v>
      </c>
      <c r="I52" t="s">
        <v>32</v>
      </c>
      <c r="J52" t="s">
        <v>49</v>
      </c>
      <c r="K52" t="s">
        <v>34</v>
      </c>
      <c r="L52" t="s">
        <v>50</v>
      </c>
      <c r="M52">
        <v>1</v>
      </c>
      <c r="N52" t="s">
        <v>88</v>
      </c>
      <c r="O52" t="s">
        <v>104</v>
      </c>
      <c r="P52" t="s">
        <v>51</v>
      </c>
      <c r="Q52" t="s">
        <v>52</v>
      </c>
      <c r="R52" t="s">
        <v>101</v>
      </c>
      <c r="S52" t="s">
        <v>32</v>
      </c>
      <c r="T52">
        <v>2</v>
      </c>
      <c r="U52" t="s">
        <v>90</v>
      </c>
      <c r="V52" t="s">
        <v>84</v>
      </c>
      <c r="W52" t="s">
        <v>74</v>
      </c>
      <c r="X52" t="s">
        <v>84</v>
      </c>
      <c r="Y52" t="s">
        <v>108</v>
      </c>
    </row>
    <row r="53" spans="1:25" ht="14.25" customHeight="1" x14ac:dyDescent="0.35">
      <c r="A53" t="s">
        <v>163</v>
      </c>
      <c r="B53">
        <v>20</v>
      </c>
      <c r="C53" t="s">
        <v>106</v>
      </c>
      <c r="D53" t="s">
        <v>27</v>
      </c>
      <c r="E53" t="s">
        <v>28</v>
      </c>
      <c r="F53" t="s">
        <v>68</v>
      </c>
      <c r="G53" t="s">
        <v>47</v>
      </c>
      <c r="H53" t="s">
        <v>107</v>
      </c>
      <c r="I53" t="s">
        <v>32</v>
      </c>
      <c r="J53" t="s">
        <v>79</v>
      </c>
      <c r="K53" t="s">
        <v>34</v>
      </c>
      <c r="L53" t="s">
        <v>50</v>
      </c>
      <c r="M53">
        <v>3</v>
      </c>
      <c r="N53" t="s">
        <v>88</v>
      </c>
      <c r="O53" t="s">
        <v>89</v>
      </c>
      <c r="P53" t="s">
        <v>64</v>
      </c>
      <c r="Q53" t="s">
        <v>52</v>
      </c>
      <c r="R53" t="s">
        <v>40</v>
      </c>
      <c r="S53" t="s">
        <v>74</v>
      </c>
      <c r="T53">
        <v>4</v>
      </c>
      <c r="U53" t="s">
        <v>60</v>
      </c>
      <c r="V53" t="s">
        <v>132</v>
      </c>
      <c r="W53" t="s">
        <v>74</v>
      </c>
      <c r="X53" t="s">
        <v>132</v>
      </c>
      <c r="Y53" t="s">
        <v>76</v>
      </c>
    </row>
    <row r="54" spans="1:25" ht="14.25" customHeight="1" x14ac:dyDescent="0.35">
      <c r="A54" t="s">
        <v>164</v>
      </c>
      <c r="B54">
        <v>32</v>
      </c>
      <c r="C54" t="s">
        <v>67</v>
      </c>
      <c r="D54" t="s">
        <v>27</v>
      </c>
      <c r="E54" t="s">
        <v>28</v>
      </c>
      <c r="F54" t="s">
        <v>46</v>
      </c>
      <c r="G54" t="s">
        <v>47</v>
      </c>
      <c r="H54" t="s">
        <v>48</v>
      </c>
      <c r="I54" t="s">
        <v>74</v>
      </c>
      <c r="J54" t="s">
        <v>96</v>
      </c>
      <c r="K54" t="s">
        <v>80</v>
      </c>
      <c r="L54" t="s">
        <v>80</v>
      </c>
      <c r="M54">
        <v>0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74</v>
      </c>
      <c r="T54" t="s">
        <v>82</v>
      </c>
      <c r="U54" t="s">
        <v>97</v>
      </c>
      <c r="V54" t="s">
        <v>84</v>
      </c>
      <c r="W54" t="s">
        <v>75</v>
      </c>
      <c r="X54" t="s">
        <v>84</v>
      </c>
      <c r="Y54" t="s">
        <v>99</v>
      </c>
    </row>
    <row r="55" spans="1:25" ht="14.25" customHeight="1" x14ac:dyDescent="0.35">
      <c r="A55" t="s">
        <v>165</v>
      </c>
      <c r="B55">
        <v>35</v>
      </c>
      <c r="C55" t="s">
        <v>67</v>
      </c>
      <c r="D55" t="s">
        <v>27</v>
      </c>
      <c r="E55" t="s">
        <v>28</v>
      </c>
      <c r="F55" t="s">
        <v>68</v>
      </c>
      <c r="G55" t="s">
        <v>87</v>
      </c>
      <c r="H55" t="s">
        <v>48</v>
      </c>
      <c r="I55" t="s">
        <v>32</v>
      </c>
      <c r="J55" t="s">
        <v>92</v>
      </c>
      <c r="K55" t="s">
        <v>80</v>
      </c>
      <c r="L55" t="s">
        <v>80</v>
      </c>
      <c r="M55">
        <v>0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74</v>
      </c>
      <c r="T55" t="s">
        <v>82</v>
      </c>
      <c r="U55" t="s">
        <v>110</v>
      </c>
      <c r="V55" t="s">
        <v>84</v>
      </c>
      <c r="W55" t="s">
        <v>32</v>
      </c>
      <c r="X55" t="s">
        <v>84</v>
      </c>
      <c r="Y55" t="s">
        <v>111</v>
      </c>
    </row>
    <row r="56" spans="1:25" ht="14.25" customHeight="1" x14ac:dyDescent="0.35">
      <c r="A56" t="s">
        <v>166</v>
      </c>
      <c r="B56">
        <v>18</v>
      </c>
      <c r="C56" t="s">
        <v>26</v>
      </c>
      <c r="D56" t="s">
        <v>27</v>
      </c>
      <c r="E56" t="s">
        <v>55</v>
      </c>
      <c r="F56" t="s">
        <v>68</v>
      </c>
      <c r="G56" t="s">
        <v>47</v>
      </c>
      <c r="H56" t="s">
        <v>107</v>
      </c>
      <c r="I56" t="s">
        <v>32</v>
      </c>
      <c r="J56" t="s">
        <v>92</v>
      </c>
      <c r="K56" t="s">
        <v>80</v>
      </c>
      <c r="L56" t="s">
        <v>80</v>
      </c>
      <c r="M56">
        <v>0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74</v>
      </c>
      <c r="T56" t="s">
        <v>82</v>
      </c>
      <c r="U56" t="s">
        <v>147</v>
      </c>
      <c r="V56" t="s">
        <v>42</v>
      </c>
      <c r="W56" t="s">
        <v>75</v>
      </c>
      <c r="X56" t="s">
        <v>42</v>
      </c>
      <c r="Y56" t="s">
        <v>148</v>
      </c>
    </row>
    <row r="57" spans="1:25" ht="14.25" customHeight="1" x14ac:dyDescent="0.35">
      <c r="A57" t="s">
        <v>167</v>
      </c>
      <c r="B57">
        <v>25</v>
      </c>
      <c r="C57" t="s">
        <v>106</v>
      </c>
      <c r="D57" t="s">
        <v>27</v>
      </c>
      <c r="E57" t="s">
        <v>28</v>
      </c>
      <c r="F57" t="s">
        <v>46</v>
      </c>
      <c r="G57" t="s">
        <v>47</v>
      </c>
      <c r="H57" t="s">
        <v>107</v>
      </c>
      <c r="I57" t="s">
        <v>32</v>
      </c>
      <c r="J57" t="s">
        <v>92</v>
      </c>
      <c r="K57" t="s">
        <v>34</v>
      </c>
      <c r="L57" t="s">
        <v>50</v>
      </c>
      <c r="M57">
        <v>3</v>
      </c>
      <c r="N57" t="s">
        <v>36</v>
      </c>
      <c r="O57" t="s">
        <v>37</v>
      </c>
      <c r="P57" t="s">
        <v>64</v>
      </c>
      <c r="Q57" t="s">
        <v>52</v>
      </c>
      <c r="R57" t="s">
        <v>40</v>
      </c>
      <c r="S57" t="s">
        <v>32</v>
      </c>
      <c r="T57">
        <v>3</v>
      </c>
      <c r="U57" t="s">
        <v>168</v>
      </c>
      <c r="V57" t="s">
        <v>84</v>
      </c>
      <c r="W57" t="s">
        <v>32</v>
      </c>
      <c r="X57" t="s">
        <v>84</v>
      </c>
      <c r="Y57" t="s">
        <v>169</v>
      </c>
    </row>
    <row r="58" spans="1:25" ht="14.25" customHeight="1" x14ac:dyDescent="0.35">
      <c r="A58" t="s">
        <v>170</v>
      </c>
      <c r="B58">
        <v>54</v>
      </c>
      <c r="C58" t="s">
        <v>63</v>
      </c>
      <c r="D58" t="s">
        <v>27</v>
      </c>
      <c r="E58" t="s">
        <v>28</v>
      </c>
      <c r="F58" t="s">
        <v>46</v>
      </c>
      <c r="G58" t="s">
        <v>47</v>
      </c>
      <c r="H58" t="s">
        <v>48</v>
      </c>
      <c r="I58" t="s">
        <v>32</v>
      </c>
      <c r="J58" t="s">
        <v>73</v>
      </c>
      <c r="K58" t="s">
        <v>34</v>
      </c>
      <c r="L58" t="s">
        <v>103</v>
      </c>
      <c r="M58">
        <v>4</v>
      </c>
      <c r="N58" t="s">
        <v>36</v>
      </c>
      <c r="O58" t="s">
        <v>37</v>
      </c>
      <c r="P58" t="s">
        <v>58</v>
      </c>
      <c r="Q58" t="s">
        <v>59</v>
      </c>
      <c r="R58" t="s">
        <v>70</v>
      </c>
      <c r="S58" t="s">
        <v>32</v>
      </c>
      <c r="T58">
        <v>4</v>
      </c>
      <c r="U58" t="s">
        <v>60</v>
      </c>
      <c r="V58" t="s">
        <v>114</v>
      </c>
      <c r="W58" t="s">
        <v>32</v>
      </c>
      <c r="X58" t="s">
        <v>114</v>
      </c>
      <c r="Y58" t="s">
        <v>61</v>
      </c>
    </row>
    <row r="59" spans="1:25" ht="14.25" customHeight="1" x14ac:dyDescent="0.35">
      <c r="A59" t="s">
        <v>171</v>
      </c>
      <c r="B59">
        <v>17</v>
      </c>
      <c r="C59" t="s">
        <v>26</v>
      </c>
      <c r="D59" t="s">
        <v>27</v>
      </c>
      <c r="E59" t="s">
        <v>55</v>
      </c>
      <c r="F59" t="s">
        <v>29</v>
      </c>
      <c r="G59" t="s">
        <v>87</v>
      </c>
      <c r="H59" t="s">
        <v>31</v>
      </c>
      <c r="I59" t="s">
        <v>74</v>
      </c>
      <c r="J59" t="s">
        <v>96</v>
      </c>
      <c r="K59" t="s">
        <v>80</v>
      </c>
      <c r="L59" t="s">
        <v>80</v>
      </c>
      <c r="M59">
        <v>0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74</v>
      </c>
      <c r="T59" t="s">
        <v>82</v>
      </c>
      <c r="U59" t="s">
        <v>97</v>
      </c>
      <c r="V59" t="s">
        <v>84</v>
      </c>
      <c r="W59" t="s">
        <v>74</v>
      </c>
      <c r="X59" t="s">
        <v>84</v>
      </c>
      <c r="Y59" t="s">
        <v>99</v>
      </c>
    </row>
    <row r="60" spans="1:25" ht="14.25" customHeight="1" x14ac:dyDescent="0.35">
      <c r="A60" t="s">
        <v>172</v>
      </c>
      <c r="B60">
        <v>63</v>
      </c>
      <c r="C60" t="s">
        <v>63</v>
      </c>
      <c r="D60" t="s">
        <v>27</v>
      </c>
      <c r="E60" t="s">
        <v>33</v>
      </c>
      <c r="F60" t="s">
        <v>29</v>
      </c>
      <c r="G60" t="s">
        <v>87</v>
      </c>
      <c r="H60" t="s">
        <v>119</v>
      </c>
      <c r="I60" t="s">
        <v>32</v>
      </c>
      <c r="J60" t="s">
        <v>79</v>
      </c>
      <c r="K60" t="s">
        <v>34</v>
      </c>
      <c r="L60" t="s">
        <v>50</v>
      </c>
      <c r="M60">
        <v>1</v>
      </c>
      <c r="N60" t="s">
        <v>93</v>
      </c>
      <c r="O60" t="s">
        <v>142</v>
      </c>
      <c r="P60" t="s">
        <v>38</v>
      </c>
      <c r="Q60" t="s">
        <v>94</v>
      </c>
      <c r="R60" t="s">
        <v>101</v>
      </c>
      <c r="S60" t="s">
        <v>32</v>
      </c>
      <c r="T60">
        <v>1</v>
      </c>
      <c r="U60" t="s">
        <v>90</v>
      </c>
      <c r="V60" t="s">
        <v>114</v>
      </c>
      <c r="W60" t="s">
        <v>74</v>
      </c>
      <c r="X60" t="s">
        <v>114</v>
      </c>
      <c r="Y60" t="s">
        <v>108</v>
      </c>
    </row>
    <row r="61" spans="1:25" ht="14.25" customHeight="1" x14ac:dyDescent="0.35">
      <c r="A61" t="s">
        <v>173</v>
      </c>
      <c r="B61">
        <v>57</v>
      </c>
      <c r="C61" t="s">
        <v>63</v>
      </c>
      <c r="D61" t="s">
        <v>27</v>
      </c>
      <c r="E61" t="s">
        <v>28</v>
      </c>
      <c r="F61" t="s">
        <v>68</v>
      </c>
      <c r="G61" t="s">
        <v>30</v>
      </c>
      <c r="H61" t="s">
        <v>48</v>
      </c>
      <c r="I61" t="s">
        <v>32</v>
      </c>
      <c r="J61" t="s">
        <v>57</v>
      </c>
      <c r="K61" t="s">
        <v>34</v>
      </c>
      <c r="L61" t="s">
        <v>50</v>
      </c>
      <c r="M61">
        <v>3</v>
      </c>
      <c r="N61" t="s">
        <v>88</v>
      </c>
      <c r="O61" t="s">
        <v>89</v>
      </c>
      <c r="P61" t="s">
        <v>64</v>
      </c>
      <c r="Q61" t="s">
        <v>52</v>
      </c>
      <c r="R61" t="s">
        <v>116</v>
      </c>
      <c r="S61" t="s">
        <v>32</v>
      </c>
      <c r="T61">
        <v>3</v>
      </c>
      <c r="U61" t="s">
        <v>60</v>
      </c>
      <c r="V61" t="s">
        <v>132</v>
      </c>
      <c r="W61" t="s">
        <v>75</v>
      </c>
      <c r="X61" t="s">
        <v>132</v>
      </c>
      <c r="Y61" t="s">
        <v>61</v>
      </c>
    </row>
    <row r="62" spans="1:25" ht="14.25" customHeight="1" x14ac:dyDescent="0.35">
      <c r="A62" t="s">
        <v>174</v>
      </c>
      <c r="B62">
        <v>13</v>
      </c>
      <c r="C62" t="s">
        <v>26</v>
      </c>
      <c r="D62" t="s">
        <v>27</v>
      </c>
      <c r="E62" t="s">
        <v>28</v>
      </c>
      <c r="F62" t="s">
        <v>68</v>
      </c>
      <c r="G62" t="s">
        <v>47</v>
      </c>
      <c r="H62" t="s">
        <v>31</v>
      </c>
      <c r="I62" t="s">
        <v>32</v>
      </c>
      <c r="J62" t="s">
        <v>49</v>
      </c>
      <c r="K62" t="s">
        <v>34</v>
      </c>
      <c r="L62" t="s">
        <v>35</v>
      </c>
      <c r="M62">
        <v>3</v>
      </c>
      <c r="N62" t="s">
        <v>88</v>
      </c>
      <c r="O62" t="s">
        <v>104</v>
      </c>
      <c r="P62" t="s">
        <v>51</v>
      </c>
      <c r="Q62" t="s">
        <v>65</v>
      </c>
      <c r="R62" t="s">
        <v>116</v>
      </c>
      <c r="S62" t="s">
        <v>32</v>
      </c>
      <c r="T62">
        <v>3</v>
      </c>
      <c r="U62" t="s">
        <v>60</v>
      </c>
      <c r="V62" t="s">
        <v>42</v>
      </c>
      <c r="W62" t="s">
        <v>74</v>
      </c>
      <c r="X62" t="s">
        <v>42</v>
      </c>
      <c r="Y62" t="s">
        <v>61</v>
      </c>
    </row>
    <row r="63" spans="1:25" ht="14.25" customHeight="1" x14ac:dyDescent="0.35">
      <c r="A63" t="s">
        <v>175</v>
      </c>
      <c r="B63">
        <v>41</v>
      </c>
      <c r="C63" t="s">
        <v>45</v>
      </c>
      <c r="D63" t="s">
        <v>27</v>
      </c>
      <c r="E63" t="s">
        <v>78</v>
      </c>
      <c r="F63" t="s">
        <v>56</v>
      </c>
      <c r="G63" t="s">
        <v>87</v>
      </c>
      <c r="H63" t="s">
        <v>48</v>
      </c>
      <c r="I63" t="s">
        <v>32</v>
      </c>
      <c r="J63" t="s">
        <v>33</v>
      </c>
      <c r="K63" t="s">
        <v>34</v>
      </c>
      <c r="L63" t="s">
        <v>103</v>
      </c>
      <c r="M63">
        <v>4</v>
      </c>
      <c r="N63" t="s">
        <v>88</v>
      </c>
      <c r="O63" t="s">
        <v>104</v>
      </c>
      <c r="P63" t="s">
        <v>58</v>
      </c>
      <c r="Q63" t="s">
        <v>39</v>
      </c>
      <c r="R63" t="s">
        <v>53</v>
      </c>
      <c r="S63" t="s">
        <v>32</v>
      </c>
      <c r="T63">
        <v>3</v>
      </c>
      <c r="U63" t="s">
        <v>168</v>
      </c>
      <c r="V63" t="s">
        <v>114</v>
      </c>
      <c r="W63" t="s">
        <v>75</v>
      </c>
      <c r="X63" t="s">
        <v>114</v>
      </c>
      <c r="Y63" t="s">
        <v>169</v>
      </c>
    </row>
    <row r="64" spans="1:25" ht="14.25" customHeight="1" x14ac:dyDescent="0.35">
      <c r="A64" t="s">
        <v>176</v>
      </c>
      <c r="B64">
        <v>19</v>
      </c>
      <c r="C64" t="s">
        <v>26</v>
      </c>
      <c r="D64" t="s">
        <v>27</v>
      </c>
      <c r="E64" t="s">
        <v>28</v>
      </c>
      <c r="F64" t="s">
        <v>56</v>
      </c>
      <c r="G64" t="s">
        <v>87</v>
      </c>
      <c r="H64" t="s">
        <v>107</v>
      </c>
      <c r="I64" t="s">
        <v>32</v>
      </c>
      <c r="J64" t="s">
        <v>92</v>
      </c>
      <c r="K64" t="s">
        <v>80</v>
      </c>
      <c r="L64" t="s">
        <v>80</v>
      </c>
      <c r="M64">
        <v>0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74</v>
      </c>
      <c r="T64" t="s">
        <v>82</v>
      </c>
      <c r="U64" t="s">
        <v>110</v>
      </c>
      <c r="V64" t="s">
        <v>42</v>
      </c>
      <c r="W64" t="s">
        <v>75</v>
      </c>
      <c r="X64" t="s">
        <v>42</v>
      </c>
      <c r="Y64" t="s">
        <v>111</v>
      </c>
    </row>
    <row r="65" spans="1:25" ht="14.25" customHeight="1" x14ac:dyDescent="0.35">
      <c r="A65" t="s">
        <v>177</v>
      </c>
      <c r="B65">
        <v>31</v>
      </c>
      <c r="C65" t="s">
        <v>67</v>
      </c>
      <c r="D65" t="s">
        <v>27</v>
      </c>
      <c r="E65" t="s">
        <v>28</v>
      </c>
      <c r="F65" t="s">
        <v>29</v>
      </c>
      <c r="G65" t="s">
        <v>47</v>
      </c>
      <c r="H65" t="s">
        <v>48</v>
      </c>
      <c r="I65" t="s">
        <v>32</v>
      </c>
      <c r="J65" t="s">
        <v>79</v>
      </c>
      <c r="K65" t="s">
        <v>80</v>
      </c>
      <c r="L65" t="s">
        <v>80</v>
      </c>
      <c r="M65">
        <v>0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74</v>
      </c>
      <c r="T65" t="s">
        <v>82</v>
      </c>
      <c r="U65" t="s">
        <v>147</v>
      </c>
      <c r="V65" t="s">
        <v>114</v>
      </c>
      <c r="W65" t="s">
        <v>74</v>
      </c>
      <c r="X65" t="s">
        <v>114</v>
      </c>
      <c r="Y65" t="s">
        <v>148</v>
      </c>
    </row>
    <row r="66" spans="1:25" ht="14.25" customHeight="1" x14ac:dyDescent="0.35">
      <c r="A66" t="s">
        <v>178</v>
      </c>
      <c r="B66">
        <v>43</v>
      </c>
      <c r="C66" t="s">
        <v>45</v>
      </c>
      <c r="D66" t="s">
        <v>27</v>
      </c>
      <c r="E66" t="s">
        <v>78</v>
      </c>
      <c r="F66" t="s">
        <v>68</v>
      </c>
      <c r="G66" t="s">
        <v>47</v>
      </c>
      <c r="H66" t="s">
        <v>48</v>
      </c>
      <c r="I66" t="s">
        <v>32</v>
      </c>
      <c r="J66" t="s">
        <v>73</v>
      </c>
      <c r="K66" t="s">
        <v>34</v>
      </c>
      <c r="L66" t="s">
        <v>50</v>
      </c>
      <c r="M66">
        <v>4</v>
      </c>
      <c r="N66" t="s">
        <v>36</v>
      </c>
      <c r="O66" t="s">
        <v>37</v>
      </c>
      <c r="P66" t="s">
        <v>58</v>
      </c>
      <c r="Q66" t="s">
        <v>59</v>
      </c>
      <c r="R66" t="s">
        <v>40</v>
      </c>
      <c r="S66" t="s">
        <v>32</v>
      </c>
      <c r="T66">
        <v>3</v>
      </c>
      <c r="U66" t="s">
        <v>168</v>
      </c>
      <c r="V66" t="s">
        <v>84</v>
      </c>
      <c r="W66" t="s">
        <v>32</v>
      </c>
      <c r="X66" t="s">
        <v>84</v>
      </c>
      <c r="Y66" t="s">
        <v>169</v>
      </c>
    </row>
    <row r="67" spans="1:25" ht="14.25" customHeight="1" x14ac:dyDescent="0.35">
      <c r="A67" t="s">
        <v>179</v>
      </c>
      <c r="B67">
        <v>56</v>
      </c>
      <c r="C67" t="s">
        <v>63</v>
      </c>
      <c r="D67" t="s">
        <v>27</v>
      </c>
      <c r="E67" t="s">
        <v>28</v>
      </c>
      <c r="F67" t="s">
        <v>68</v>
      </c>
      <c r="G67" t="s">
        <v>87</v>
      </c>
      <c r="H67" t="s">
        <v>48</v>
      </c>
      <c r="I67" t="s">
        <v>32</v>
      </c>
      <c r="J67" t="s">
        <v>92</v>
      </c>
      <c r="K67" t="s">
        <v>34</v>
      </c>
      <c r="L67" t="s">
        <v>50</v>
      </c>
      <c r="M67">
        <v>3</v>
      </c>
      <c r="N67" t="s">
        <v>93</v>
      </c>
      <c r="O67" t="s">
        <v>89</v>
      </c>
      <c r="P67" t="s">
        <v>127</v>
      </c>
      <c r="Q67" t="s">
        <v>94</v>
      </c>
      <c r="R67" t="s">
        <v>101</v>
      </c>
      <c r="S67" t="s">
        <v>32</v>
      </c>
      <c r="T67">
        <v>1</v>
      </c>
      <c r="U67" t="s">
        <v>60</v>
      </c>
      <c r="V67" t="s">
        <v>114</v>
      </c>
      <c r="W67" t="s">
        <v>74</v>
      </c>
      <c r="X67" t="s">
        <v>114</v>
      </c>
      <c r="Y67" t="s">
        <v>61</v>
      </c>
    </row>
    <row r="68" spans="1:25" ht="14.25" customHeight="1" x14ac:dyDescent="0.35">
      <c r="A68" t="s">
        <v>180</v>
      </c>
      <c r="B68">
        <v>16</v>
      </c>
      <c r="C68" t="s">
        <v>26</v>
      </c>
      <c r="D68" t="s">
        <v>27</v>
      </c>
      <c r="E68" t="s">
        <v>55</v>
      </c>
      <c r="F68" t="s">
        <v>181</v>
      </c>
      <c r="G68" t="s">
        <v>87</v>
      </c>
      <c r="H68" t="s">
        <v>31</v>
      </c>
      <c r="I68" t="s">
        <v>32</v>
      </c>
      <c r="J68" t="s">
        <v>33</v>
      </c>
      <c r="K68" t="s">
        <v>80</v>
      </c>
      <c r="L68" t="s">
        <v>80</v>
      </c>
      <c r="M68">
        <v>0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74</v>
      </c>
      <c r="T68" t="s">
        <v>82</v>
      </c>
      <c r="U68" t="s">
        <v>147</v>
      </c>
      <c r="V68" t="s">
        <v>114</v>
      </c>
      <c r="W68" t="s">
        <v>74</v>
      </c>
      <c r="X68" t="s">
        <v>114</v>
      </c>
      <c r="Y68" t="s">
        <v>148</v>
      </c>
    </row>
    <row r="69" spans="1:25" ht="14.25" customHeight="1" x14ac:dyDescent="0.35">
      <c r="A69" t="s">
        <v>182</v>
      </c>
      <c r="B69">
        <v>18</v>
      </c>
      <c r="C69" t="s">
        <v>26</v>
      </c>
      <c r="D69" t="s">
        <v>27</v>
      </c>
      <c r="E69" t="s">
        <v>28</v>
      </c>
      <c r="F69" t="s">
        <v>56</v>
      </c>
      <c r="G69" t="s">
        <v>30</v>
      </c>
      <c r="H69" t="s">
        <v>107</v>
      </c>
      <c r="I69" t="s">
        <v>32</v>
      </c>
      <c r="J69" t="s">
        <v>33</v>
      </c>
      <c r="K69" t="s">
        <v>34</v>
      </c>
      <c r="L69" t="s">
        <v>50</v>
      </c>
      <c r="M69">
        <v>3</v>
      </c>
      <c r="N69" t="s">
        <v>88</v>
      </c>
      <c r="O69" t="s">
        <v>89</v>
      </c>
      <c r="P69" t="s">
        <v>64</v>
      </c>
      <c r="Q69" t="s">
        <v>52</v>
      </c>
      <c r="R69" t="s">
        <v>116</v>
      </c>
      <c r="S69" t="s">
        <v>74</v>
      </c>
      <c r="T69">
        <v>4</v>
      </c>
      <c r="U69" t="s">
        <v>60</v>
      </c>
      <c r="V69" t="s">
        <v>98</v>
      </c>
      <c r="W69" t="s">
        <v>74</v>
      </c>
      <c r="X69" t="s">
        <v>98</v>
      </c>
      <c r="Y69" t="s">
        <v>76</v>
      </c>
    </row>
    <row r="70" spans="1:25" ht="14.25" customHeight="1" x14ac:dyDescent="0.35">
      <c r="A70" t="s">
        <v>183</v>
      </c>
      <c r="B70">
        <v>53</v>
      </c>
      <c r="C70" t="s">
        <v>63</v>
      </c>
      <c r="D70" t="s">
        <v>27</v>
      </c>
      <c r="E70" t="s">
        <v>33</v>
      </c>
      <c r="F70" t="s">
        <v>29</v>
      </c>
      <c r="G70" t="s">
        <v>30</v>
      </c>
      <c r="H70" t="s">
        <v>48</v>
      </c>
      <c r="I70" t="s">
        <v>32</v>
      </c>
      <c r="J70" t="s">
        <v>33</v>
      </c>
      <c r="K70" t="s">
        <v>34</v>
      </c>
      <c r="L70" t="s">
        <v>103</v>
      </c>
      <c r="M70">
        <v>3</v>
      </c>
      <c r="N70" t="s">
        <v>88</v>
      </c>
      <c r="O70" t="s">
        <v>104</v>
      </c>
      <c r="P70" t="s">
        <v>64</v>
      </c>
      <c r="Q70" t="s">
        <v>65</v>
      </c>
      <c r="R70" t="s">
        <v>116</v>
      </c>
      <c r="S70" t="s">
        <v>74</v>
      </c>
      <c r="T70">
        <v>2</v>
      </c>
      <c r="U70" t="s">
        <v>41</v>
      </c>
      <c r="V70" t="s">
        <v>84</v>
      </c>
      <c r="W70" t="s">
        <v>32</v>
      </c>
      <c r="X70" t="s">
        <v>84</v>
      </c>
      <c r="Y70" t="s">
        <v>76</v>
      </c>
    </row>
    <row r="71" spans="1:25" ht="14.25" customHeight="1" x14ac:dyDescent="0.35">
      <c r="A71" t="s">
        <v>184</v>
      </c>
      <c r="B71">
        <v>39</v>
      </c>
      <c r="C71" t="s">
        <v>67</v>
      </c>
      <c r="D71" t="s">
        <v>27</v>
      </c>
      <c r="E71" t="s">
        <v>28</v>
      </c>
      <c r="F71" t="s">
        <v>68</v>
      </c>
      <c r="G71" t="s">
        <v>30</v>
      </c>
      <c r="H71" t="s">
        <v>48</v>
      </c>
      <c r="I71" t="s">
        <v>32</v>
      </c>
      <c r="J71" t="s">
        <v>33</v>
      </c>
      <c r="K71" t="s">
        <v>34</v>
      </c>
      <c r="L71" t="s">
        <v>103</v>
      </c>
      <c r="M71">
        <v>4</v>
      </c>
      <c r="N71" t="s">
        <v>88</v>
      </c>
      <c r="O71" t="s">
        <v>89</v>
      </c>
      <c r="P71" t="s">
        <v>64</v>
      </c>
      <c r="Q71" t="s">
        <v>52</v>
      </c>
      <c r="R71" t="s">
        <v>40</v>
      </c>
      <c r="S71" t="s">
        <v>74</v>
      </c>
      <c r="T71">
        <v>2</v>
      </c>
      <c r="U71" t="s">
        <v>110</v>
      </c>
      <c r="V71" t="s">
        <v>42</v>
      </c>
      <c r="W71" t="s">
        <v>32</v>
      </c>
      <c r="X71" t="s">
        <v>42</v>
      </c>
      <c r="Y71" t="s">
        <v>76</v>
      </c>
    </row>
    <row r="72" spans="1:25" ht="14.25" customHeight="1" x14ac:dyDescent="0.35">
      <c r="A72" t="s">
        <v>185</v>
      </c>
      <c r="B72">
        <v>13</v>
      </c>
      <c r="C72" t="s">
        <v>26</v>
      </c>
      <c r="D72" t="s">
        <v>27</v>
      </c>
      <c r="E72" t="s">
        <v>55</v>
      </c>
      <c r="F72" t="s">
        <v>29</v>
      </c>
      <c r="G72" t="s">
        <v>30</v>
      </c>
      <c r="H72" t="s">
        <v>31</v>
      </c>
      <c r="I72" t="s">
        <v>74</v>
      </c>
      <c r="J72" t="s">
        <v>96</v>
      </c>
      <c r="K72" t="s">
        <v>80</v>
      </c>
      <c r="L72" t="s">
        <v>80</v>
      </c>
      <c r="M72">
        <v>0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74</v>
      </c>
      <c r="T72" t="s">
        <v>82</v>
      </c>
      <c r="U72" t="s">
        <v>97</v>
      </c>
      <c r="V72" t="s">
        <v>42</v>
      </c>
      <c r="W72" t="s">
        <v>75</v>
      </c>
      <c r="X72" t="s">
        <v>42</v>
      </c>
      <c r="Y72" t="s">
        <v>99</v>
      </c>
    </row>
    <row r="73" spans="1:25" ht="14.25" customHeight="1" x14ac:dyDescent="0.35">
      <c r="A73" t="s">
        <v>186</v>
      </c>
      <c r="B73">
        <v>16</v>
      </c>
      <c r="C73" t="s">
        <v>26</v>
      </c>
      <c r="D73" t="s">
        <v>27</v>
      </c>
      <c r="E73" t="s">
        <v>28</v>
      </c>
      <c r="F73" t="s">
        <v>29</v>
      </c>
      <c r="G73" t="s">
        <v>87</v>
      </c>
      <c r="H73" t="s">
        <v>31</v>
      </c>
      <c r="I73" t="s">
        <v>32</v>
      </c>
      <c r="J73" t="s">
        <v>33</v>
      </c>
      <c r="K73" t="s">
        <v>34</v>
      </c>
      <c r="L73" t="s">
        <v>103</v>
      </c>
      <c r="M73">
        <v>1</v>
      </c>
      <c r="N73" t="s">
        <v>93</v>
      </c>
      <c r="O73" t="s">
        <v>142</v>
      </c>
      <c r="P73" t="s">
        <v>51</v>
      </c>
      <c r="Q73" t="s">
        <v>65</v>
      </c>
      <c r="R73" t="s">
        <v>101</v>
      </c>
      <c r="S73" t="s">
        <v>74</v>
      </c>
      <c r="T73">
        <v>2</v>
      </c>
      <c r="U73" t="s">
        <v>60</v>
      </c>
      <c r="V73" t="s">
        <v>42</v>
      </c>
      <c r="W73" t="s">
        <v>75</v>
      </c>
      <c r="X73" t="s">
        <v>42</v>
      </c>
      <c r="Y73" t="s">
        <v>76</v>
      </c>
    </row>
    <row r="74" spans="1:25" ht="14.25" customHeight="1" x14ac:dyDescent="0.35">
      <c r="A74" t="s">
        <v>187</v>
      </c>
      <c r="B74">
        <v>18</v>
      </c>
      <c r="C74" t="s">
        <v>26</v>
      </c>
      <c r="D74" t="s">
        <v>27</v>
      </c>
      <c r="E74" t="s">
        <v>28</v>
      </c>
      <c r="F74" t="s">
        <v>181</v>
      </c>
      <c r="G74" t="s">
        <v>87</v>
      </c>
      <c r="H74" t="s">
        <v>107</v>
      </c>
      <c r="I74" t="s">
        <v>32</v>
      </c>
      <c r="J74" t="s">
        <v>33</v>
      </c>
      <c r="K74" t="s">
        <v>34</v>
      </c>
      <c r="L74" t="s">
        <v>103</v>
      </c>
      <c r="M74">
        <v>4</v>
      </c>
      <c r="N74" t="s">
        <v>93</v>
      </c>
      <c r="O74" t="s">
        <v>142</v>
      </c>
      <c r="P74" t="s">
        <v>51</v>
      </c>
      <c r="Q74" t="s">
        <v>65</v>
      </c>
      <c r="R74" t="s">
        <v>53</v>
      </c>
      <c r="S74" t="s">
        <v>32</v>
      </c>
      <c r="T74">
        <v>1</v>
      </c>
      <c r="U74" t="s">
        <v>60</v>
      </c>
      <c r="V74" t="s">
        <v>98</v>
      </c>
      <c r="W74" t="s">
        <v>74</v>
      </c>
      <c r="X74" t="s">
        <v>98</v>
      </c>
      <c r="Y74" t="s">
        <v>61</v>
      </c>
    </row>
    <row r="75" spans="1:25" ht="14.25" customHeight="1" x14ac:dyDescent="0.35">
      <c r="A75" t="s">
        <v>188</v>
      </c>
      <c r="B75">
        <v>43</v>
      </c>
      <c r="C75" t="s">
        <v>45</v>
      </c>
      <c r="D75" t="s">
        <v>27</v>
      </c>
      <c r="E75" t="s">
        <v>28</v>
      </c>
      <c r="F75" t="s">
        <v>29</v>
      </c>
      <c r="G75" t="s">
        <v>87</v>
      </c>
      <c r="H75" t="s">
        <v>48</v>
      </c>
      <c r="I75" t="s">
        <v>32</v>
      </c>
      <c r="J75" t="s">
        <v>33</v>
      </c>
      <c r="K75" t="s">
        <v>34</v>
      </c>
      <c r="L75" t="s">
        <v>103</v>
      </c>
      <c r="M75">
        <v>3</v>
      </c>
      <c r="N75" t="s">
        <v>88</v>
      </c>
      <c r="O75" t="s">
        <v>89</v>
      </c>
      <c r="P75" t="s">
        <v>58</v>
      </c>
      <c r="Q75" t="s">
        <v>59</v>
      </c>
      <c r="R75" t="s">
        <v>53</v>
      </c>
      <c r="S75" t="s">
        <v>32</v>
      </c>
      <c r="T75">
        <v>5</v>
      </c>
      <c r="U75" t="s">
        <v>60</v>
      </c>
      <c r="V75" t="s">
        <v>84</v>
      </c>
      <c r="W75" t="s">
        <v>75</v>
      </c>
      <c r="X75" t="s">
        <v>84</v>
      </c>
      <c r="Y75" t="s">
        <v>61</v>
      </c>
    </row>
    <row r="76" spans="1:25" ht="14.25" customHeight="1" x14ac:dyDescent="0.35">
      <c r="A76" t="s">
        <v>189</v>
      </c>
      <c r="B76">
        <v>14</v>
      </c>
      <c r="C76" t="s">
        <v>26</v>
      </c>
      <c r="D76" t="s">
        <v>27</v>
      </c>
      <c r="E76" t="s">
        <v>28</v>
      </c>
      <c r="F76" t="s">
        <v>29</v>
      </c>
      <c r="G76" t="s">
        <v>87</v>
      </c>
      <c r="H76" t="s">
        <v>31</v>
      </c>
      <c r="I76" t="s">
        <v>32</v>
      </c>
      <c r="J76" t="s">
        <v>49</v>
      </c>
      <c r="K76" t="s">
        <v>34</v>
      </c>
      <c r="L76" t="s">
        <v>103</v>
      </c>
      <c r="M76">
        <v>4</v>
      </c>
      <c r="N76" t="s">
        <v>93</v>
      </c>
      <c r="O76" t="s">
        <v>142</v>
      </c>
      <c r="P76" t="s">
        <v>51</v>
      </c>
      <c r="Q76" t="s">
        <v>94</v>
      </c>
      <c r="R76" t="s">
        <v>116</v>
      </c>
      <c r="S76" t="s">
        <v>74</v>
      </c>
      <c r="T76">
        <v>3</v>
      </c>
      <c r="U76" t="s">
        <v>90</v>
      </c>
      <c r="V76" t="s">
        <v>42</v>
      </c>
      <c r="W76" t="s">
        <v>75</v>
      </c>
      <c r="X76" t="s">
        <v>42</v>
      </c>
      <c r="Y76" t="s">
        <v>76</v>
      </c>
    </row>
    <row r="77" spans="1:25" ht="14.25" customHeight="1" x14ac:dyDescent="0.35">
      <c r="A77" t="s">
        <v>190</v>
      </c>
      <c r="B77">
        <v>16</v>
      </c>
      <c r="C77" t="s">
        <v>26</v>
      </c>
      <c r="D77" t="s">
        <v>27</v>
      </c>
      <c r="E77" t="s">
        <v>55</v>
      </c>
      <c r="F77" t="s">
        <v>68</v>
      </c>
      <c r="G77" t="s">
        <v>30</v>
      </c>
      <c r="H77" t="s">
        <v>31</v>
      </c>
      <c r="I77" t="s">
        <v>32</v>
      </c>
      <c r="J77" t="s">
        <v>92</v>
      </c>
      <c r="K77" t="s">
        <v>34</v>
      </c>
      <c r="L77" t="s">
        <v>50</v>
      </c>
      <c r="M77">
        <v>2</v>
      </c>
      <c r="N77" t="s">
        <v>93</v>
      </c>
      <c r="O77" t="s">
        <v>89</v>
      </c>
      <c r="P77" t="s">
        <v>127</v>
      </c>
      <c r="Q77" t="s">
        <v>94</v>
      </c>
      <c r="R77" t="s">
        <v>116</v>
      </c>
      <c r="S77" t="s">
        <v>74</v>
      </c>
      <c r="T77">
        <v>1</v>
      </c>
      <c r="U77" t="s">
        <v>60</v>
      </c>
      <c r="V77" t="s">
        <v>42</v>
      </c>
      <c r="W77" t="s">
        <v>74</v>
      </c>
      <c r="X77" t="s">
        <v>42</v>
      </c>
      <c r="Y77" t="s">
        <v>76</v>
      </c>
    </row>
    <row r="78" spans="1:25" ht="14.25" customHeight="1" x14ac:dyDescent="0.35">
      <c r="A78" t="s">
        <v>191</v>
      </c>
      <c r="B78">
        <v>36</v>
      </c>
      <c r="C78" t="s">
        <v>67</v>
      </c>
      <c r="D78" t="s">
        <v>27</v>
      </c>
      <c r="E78" t="s">
        <v>78</v>
      </c>
      <c r="F78" t="s">
        <v>46</v>
      </c>
      <c r="G78" t="s">
        <v>47</v>
      </c>
      <c r="H78" t="s">
        <v>48</v>
      </c>
      <c r="I78" t="s">
        <v>74</v>
      </c>
      <c r="J78" t="s">
        <v>96</v>
      </c>
      <c r="K78" t="s">
        <v>80</v>
      </c>
      <c r="L78" t="s">
        <v>80</v>
      </c>
      <c r="M78">
        <v>0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74</v>
      </c>
      <c r="T78" t="s">
        <v>82</v>
      </c>
      <c r="U78" t="s">
        <v>97</v>
      </c>
      <c r="V78" t="s">
        <v>84</v>
      </c>
      <c r="W78" t="s">
        <v>75</v>
      </c>
      <c r="X78" t="s">
        <v>84</v>
      </c>
      <c r="Y78" t="s">
        <v>99</v>
      </c>
    </row>
    <row r="79" spans="1:25" ht="14.25" customHeight="1" x14ac:dyDescent="0.35">
      <c r="A79" t="s">
        <v>192</v>
      </c>
      <c r="B79">
        <v>65</v>
      </c>
      <c r="C79" t="s">
        <v>63</v>
      </c>
      <c r="D79" t="s">
        <v>27</v>
      </c>
      <c r="E79" t="s">
        <v>28</v>
      </c>
      <c r="F79" t="s">
        <v>56</v>
      </c>
      <c r="G79" t="s">
        <v>87</v>
      </c>
      <c r="H79" t="s">
        <v>48</v>
      </c>
      <c r="I79" t="s">
        <v>32</v>
      </c>
      <c r="J79" t="s">
        <v>33</v>
      </c>
      <c r="K79" t="s">
        <v>34</v>
      </c>
      <c r="L79" t="s">
        <v>35</v>
      </c>
      <c r="M79">
        <v>4</v>
      </c>
      <c r="N79" t="s">
        <v>88</v>
      </c>
      <c r="O79" t="s">
        <v>104</v>
      </c>
      <c r="P79" t="s">
        <v>64</v>
      </c>
      <c r="Q79" t="s">
        <v>59</v>
      </c>
      <c r="R79" t="s">
        <v>40</v>
      </c>
      <c r="S79" t="s">
        <v>32</v>
      </c>
      <c r="T79">
        <v>4</v>
      </c>
      <c r="U79" t="s">
        <v>41</v>
      </c>
      <c r="V79" t="s">
        <v>42</v>
      </c>
      <c r="W79" t="s">
        <v>74</v>
      </c>
      <c r="X79" t="s">
        <v>42</v>
      </c>
      <c r="Y79" t="s">
        <v>43</v>
      </c>
    </row>
    <row r="80" spans="1:25" ht="14.25" customHeight="1" x14ac:dyDescent="0.35">
      <c r="A80" t="s">
        <v>193</v>
      </c>
      <c r="B80">
        <v>16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57</v>
      </c>
      <c r="K80" t="s">
        <v>34</v>
      </c>
      <c r="L80" t="s">
        <v>50</v>
      </c>
      <c r="M80">
        <v>4</v>
      </c>
      <c r="N80" t="s">
        <v>36</v>
      </c>
      <c r="O80" t="s">
        <v>37</v>
      </c>
      <c r="P80" t="s">
        <v>58</v>
      </c>
      <c r="Q80" t="s">
        <v>52</v>
      </c>
      <c r="R80" t="s">
        <v>40</v>
      </c>
      <c r="S80" t="s">
        <v>32</v>
      </c>
      <c r="T80">
        <v>4</v>
      </c>
      <c r="U80" t="s">
        <v>121</v>
      </c>
      <c r="V80" t="s">
        <v>132</v>
      </c>
      <c r="W80" t="s">
        <v>32</v>
      </c>
      <c r="X80" t="s">
        <v>132</v>
      </c>
      <c r="Y80" t="s">
        <v>122</v>
      </c>
    </row>
    <row r="81" spans="1:25" ht="14.25" customHeight="1" x14ac:dyDescent="0.35">
      <c r="A81" t="s">
        <v>194</v>
      </c>
      <c r="B81">
        <v>16</v>
      </c>
      <c r="C81" t="s">
        <v>26</v>
      </c>
      <c r="D81" t="s">
        <v>27</v>
      </c>
      <c r="E81" t="s">
        <v>55</v>
      </c>
      <c r="F81" t="s">
        <v>29</v>
      </c>
      <c r="G81" t="s">
        <v>87</v>
      </c>
      <c r="H81" t="s">
        <v>31</v>
      </c>
      <c r="I81" t="s">
        <v>32</v>
      </c>
      <c r="J81" t="s">
        <v>73</v>
      </c>
      <c r="K81" t="s">
        <v>34</v>
      </c>
      <c r="L81" t="s">
        <v>50</v>
      </c>
      <c r="M81">
        <v>3</v>
      </c>
      <c r="N81" t="s">
        <v>93</v>
      </c>
      <c r="O81" t="s">
        <v>89</v>
      </c>
      <c r="P81" t="s">
        <v>51</v>
      </c>
      <c r="Q81" t="s">
        <v>94</v>
      </c>
      <c r="R81" t="s">
        <v>101</v>
      </c>
      <c r="S81" t="s">
        <v>32</v>
      </c>
      <c r="T81">
        <v>1</v>
      </c>
      <c r="U81" t="s">
        <v>41</v>
      </c>
      <c r="V81" t="s">
        <v>42</v>
      </c>
      <c r="W81" t="s">
        <v>75</v>
      </c>
      <c r="X81" t="s">
        <v>42</v>
      </c>
      <c r="Y81" t="s">
        <v>43</v>
      </c>
    </row>
    <row r="82" spans="1:25" ht="14.25" customHeight="1" x14ac:dyDescent="0.35">
      <c r="A82" t="s">
        <v>195</v>
      </c>
      <c r="B82">
        <v>13</v>
      </c>
      <c r="C82" t="s">
        <v>26</v>
      </c>
      <c r="D82" t="s">
        <v>27</v>
      </c>
      <c r="E82" t="s">
        <v>55</v>
      </c>
      <c r="F82" t="s">
        <v>29</v>
      </c>
      <c r="G82" t="s">
        <v>87</v>
      </c>
      <c r="H82" t="s">
        <v>31</v>
      </c>
      <c r="I82" t="s">
        <v>32</v>
      </c>
      <c r="J82" t="s">
        <v>92</v>
      </c>
      <c r="K82" t="s">
        <v>34</v>
      </c>
      <c r="L82" t="s">
        <v>50</v>
      </c>
      <c r="M82">
        <v>2</v>
      </c>
      <c r="N82" t="s">
        <v>93</v>
      </c>
      <c r="O82" t="s">
        <v>142</v>
      </c>
      <c r="P82" t="s">
        <v>127</v>
      </c>
      <c r="Q82" t="s">
        <v>65</v>
      </c>
      <c r="R82" t="s">
        <v>101</v>
      </c>
      <c r="S82" t="s">
        <v>32</v>
      </c>
      <c r="T82">
        <v>2</v>
      </c>
      <c r="U82" t="s">
        <v>90</v>
      </c>
      <c r="V82" t="s">
        <v>42</v>
      </c>
      <c r="W82" t="s">
        <v>74</v>
      </c>
      <c r="X82" t="s">
        <v>42</v>
      </c>
      <c r="Y82" t="s">
        <v>108</v>
      </c>
    </row>
    <row r="83" spans="1:25" ht="14.25" customHeight="1" x14ac:dyDescent="0.35">
      <c r="A83" t="s">
        <v>196</v>
      </c>
      <c r="B83">
        <v>29</v>
      </c>
      <c r="C83" t="s">
        <v>106</v>
      </c>
      <c r="D83" t="s">
        <v>27</v>
      </c>
      <c r="E83" t="s">
        <v>28</v>
      </c>
      <c r="F83" t="s">
        <v>29</v>
      </c>
      <c r="G83" t="s">
        <v>87</v>
      </c>
      <c r="H83" t="s">
        <v>107</v>
      </c>
      <c r="I83" t="s">
        <v>74</v>
      </c>
      <c r="J83" t="s">
        <v>96</v>
      </c>
      <c r="K83" t="s">
        <v>80</v>
      </c>
      <c r="L83" t="s">
        <v>80</v>
      </c>
      <c r="M83">
        <v>0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74</v>
      </c>
      <c r="T83" t="s">
        <v>82</v>
      </c>
      <c r="U83" t="s">
        <v>97</v>
      </c>
      <c r="V83" t="s">
        <v>98</v>
      </c>
      <c r="W83" t="s">
        <v>75</v>
      </c>
      <c r="X83" t="s">
        <v>98</v>
      </c>
      <c r="Y83" t="s">
        <v>99</v>
      </c>
    </row>
    <row r="84" spans="1:25" ht="14.25" customHeight="1" x14ac:dyDescent="0.35">
      <c r="A84" t="s">
        <v>197</v>
      </c>
      <c r="B84">
        <v>35</v>
      </c>
      <c r="C84" t="s">
        <v>67</v>
      </c>
      <c r="D84" t="s">
        <v>27</v>
      </c>
      <c r="E84" t="s">
        <v>118</v>
      </c>
      <c r="F84" t="s">
        <v>46</v>
      </c>
      <c r="G84" t="s">
        <v>72</v>
      </c>
      <c r="H84" t="s">
        <v>48</v>
      </c>
      <c r="I84" t="s">
        <v>32</v>
      </c>
      <c r="J84" t="s">
        <v>49</v>
      </c>
      <c r="K84" t="s">
        <v>34</v>
      </c>
      <c r="L84" t="s">
        <v>103</v>
      </c>
      <c r="M84">
        <v>5</v>
      </c>
      <c r="N84" t="s">
        <v>36</v>
      </c>
      <c r="O84" t="s">
        <v>37</v>
      </c>
      <c r="P84" t="s">
        <v>51</v>
      </c>
      <c r="Q84" t="s">
        <v>94</v>
      </c>
      <c r="R84" t="s">
        <v>53</v>
      </c>
      <c r="S84" t="s">
        <v>74</v>
      </c>
      <c r="T84">
        <v>2</v>
      </c>
      <c r="U84" t="s">
        <v>41</v>
      </c>
      <c r="V84" t="s">
        <v>84</v>
      </c>
      <c r="W84" t="s">
        <v>32</v>
      </c>
      <c r="X84" t="s">
        <v>84</v>
      </c>
      <c r="Y84" t="s">
        <v>76</v>
      </c>
    </row>
    <row r="85" spans="1:25" ht="14.25" customHeight="1" x14ac:dyDescent="0.35">
      <c r="A85" t="s">
        <v>198</v>
      </c>
      <c r="B85">
        <v>38</v>
      </c>
      <c r="C85" t="s">
        <v>67</v>
      </c>
      <c r="D85" t="s">
        <v>27</v>
      </c>
      <c r="E85" t="s">
        <v>118</v>
      </c>
      <c r="F85" t="s">
        <v>29</v>
      </c>
      <c r="G85" t="s">
        <v>47</v>
      </c>
      <c r="H85" t="s">
        <v>48</v>
      </c>
      <c r="I85" t="s">
        <v>32</v>
      </c>
      <c r="J85" t="s">
        <v>49</v>
      </c>
      <c r="K85" t="s">
        <v>34</v>
      </c>
      <c r="L85" t="s">
        <v>103</v>
      </c>
      <c r="M85">
        <v>2</v>
      </c>
      <c r="N85" t="s">
        <v>36</v>
      </c>
      <c r="O85" t="s">
        <v>37</v>
      </c>
      <c r="P85" t="s">
        <v>51</v>
      </c>
      <c r="Q85" t="s">
        <v>52</v>
      </c>
      <c r="R85" t="s">
        <v>101</v>
      </c>
      <c r="S85" t="s">
        <v>32</v>
      </c>
      <c r="T85">
        <v>2</v>
      </c>
      <c r="U85" t="s">
        <v>168</v>
      </c>
      <c r="V85" t="s">
        <v>98</v>
      </c>
      <c r="W85" t="s">
        <v>32</v>
      </c>
      <c r="X85" t="s">
        <v>98</v>
      </c>
      <c r="Y85" t="s">
        <v>169</v>
      </c>
    </row>
    <row r="86" spans="1:25" ht="14.25" customHeight="1" x14ac:dyDescent="0.35">
      <c r="A86" t="s">
        <v>199</v>
      </c>
      <c r="B86">
        <v>29</v>
      </c>
      <c r="C86" t="s">
        <v>106</v>
      </c>
      <c r="D86" t="s">
        <v>27</v>
      </c>
      <c r="E86" t="s">
        <v>28</v>
      </c>
      <c r="F86" t="s">
        <v>181</v>
      </c>
      <c r="G86" t="s">
        <v>87</v>
      </c>
      <c r="H86" t="s">
        <v>107</v>
      </c>
      <c r="I86" t="s">
        <v>32</v>
      </c>
      <c r="J86" t="s">
        <v>73</v>
      </c>
      <c r="K86" t="s">
        <v>34</v>
      </c>
      <c r="L86" t="s">
        <v>50</v>
      </c>
      <c r="M86">
        <v>5</v>
      </c>
      <c r="N86" t="s">
        <v>88</v>
      </c>
      <c r="O86" t="s">
        <v>104</v>
      </c>
      <c r="P86" t="s">
        <v>58</v>
      </c>
      <c r="Q86" t="s">
        <v>59</v>
      </c>
      <c r="R86" t="s">
        <v>40</v>
      </c>
      <c r="S86" t="s">
        <v>32</v>
      </c>
      <c r="T86">
        <v>5</v>
      </c>
      <c r="U86" t="s">
        <v>41</v>
      </c>
      <c r="V86" t="s">
        <v>84</v>
      </c>
      <c r="W86" t="s">
        <v>75</v>
      </c>
      <c r="X86" t="s">
        <v>84</v>
      </c>
      <c r="Y86" t="s">
        <v>43</v>
      </c>
    </row>
    <row r="87" spans="1:25" ht="14.25" customHeight="1" x14ac:dyDescent="0.35">
      <c r="A87" t="s">
        <v>200</v>
      </c>
      <c r="B87">
        <v>35</v>
      </c>
      <c r="C87" t="s">
        <v>67</v>
      </c>
      <c r="D87" t="s">
        <v>27</v>
      </c>
      <c r="E87" t="s">
        <v>33</v>
      </c>
      <c r="F87" t="s">
        <v>68</v>
      </c>
      <c r="G87" t="s">
        <v>30</v>
      </c>
      <c r="H87" t="s">
        <v>119</v>
      </c>
      <c r="I87" t="s">
        <v>32</v>
      </c>
      <c r="J87" t="s">
        <v>79</v>
      </c>
      <c r="K87" t="s">
        <v>34</v>
      </c>
      <c r="L87" t="s">
        <v>50</v>
      </c>
      <c r="M87">
        <v>2</v>
      </c>
      <c r="N87" t="s">
        <v>88</v>
      </c>
      <c r="O87" t="s">
        <v>89</v>
      </c>
      <c r="P87" t="s">
        <v>127</v>
      </c>
      <c r="Q87" t="s">
        <v>94</v>
      </c>
      <c r="R87" t="s">
        <v>101</v>
      </c>
      <c r="S87" t="s">
        <v>32</v>
      </c>
      <c r="T87">
        <v>1</v>
      </c>
      <c r="U87" t="s">
        <v>41</v>
      </c>
      <c r="V87" t="s">
        <v>98</v>
      </c>
      <c r="W87" t="s">
        <v>74</v>
      </c>
      <c r="X87" t="s">
        <v>98</v>
      </c>
      <c r="Y87" t="s">
        <v>43</v>
      </c>
    </row>
    <row r="88" spans="1:25" ht="14.25" customHeight="1" x14ac:dyDescent="0.35">
      <c r="A88" t="s">
        <v>201</v>
      </c>
      <c r="B88">
        <v>39</v>
      </c>
      <c r="C88" t="s">
        <v>67</v>
      </c>
      <c r="D88" t="s">
        <v>27</v>
      </c>
      <c r="E88" t="s">
        <v>78</v>
      </c>
      <c r="F88" t="s">
        <v>68</v>
      </c>
      <c r="G88" t="s">
        <v>87</v>
      </c>
      <c r="H88" t="s">
        <v>48</v>
      </c>
      <c r="I88" t="s">
        <v>32</v>
      </c>
      <c r="J88" t="s">
        <v>49</v>
      </c>
      <c r="K88" t="s">
        <v>34</v>
      </c>
      <c r="L88" t="s">
        <v>50</v>
      </c>
      <c r="M88">
        <v>3</v>
      </c>
      <c r="N88" t="s">
        <v>88</v>
      </c>
      <c r="O88" t="s">
        <v>104</v>
      </c>
      <c r="P88" t="s">
        <v>127</v>
      </c>
      <c r="Q88" t="s">
        <v>94</v>
      </c>
      <c r="R88" t="s">
        <v>116</v>
      </c>
      <c r="S88" t="s">
        <v>32</v>
      </c>
      <c r="T88">
        <v>1</v>
      </c>
      <c r="U88" t="s">
        <v>60</v>
      </c>
      <c r="V88" t="s">
        <v>42</v>
      </c>
      <c r="W88" t="s">
        <v>74</v>
      </c>
      <c r="X88" t="s">
        <v>42</v>
      </c>
      <c r="Y88" t="s">
        <v>61</v>
      </c>
    </row>
    <row r="89" spans="1:25" ht="14.25" customHeight="1" x14ac:dyDescent="0.35">
      <c r="A89" t="s">
        <v>202</v>
      </c>
      <c r="B89">
        <v>33</v>
      </c>
      <c r="C89" t="s">
        <v>67</v>
      </c>
      <c r="D89" t="s">
        <v>27</v>
      </c>
      <c r="E89" t="s">
        <v>78</v>
      </c>
      <c r="F89" t="s">
        <v>68</v>
      </c>
      <c r="G89" t="s">
        <v>87</v>
      </c>
      <c r="H89" t="s">
        <v>48</v>
      </c>
      <c r="I89" t="s">
        <v>32</v>
      </c>
      <c r="J89" t="s">
        <v>92</v>
      </c>
      <c r="K89" t="s">
        <v>34</v>
      </c>
      <c r="L89" t="s">
        <v>50</v>
      </c>
      <c r="M89">
        <v>4</v>
      </c>
      <c r="N89" t="s">
        <v>88</v>
      </c>
      <c r="O89" t="s">
        <v>89</v>
      </c>
      <c r="P89" t="s">
        <v>64</v>
      </c>
      <c r="Q89" t="s">
        <v>52</v>
      </c>
      <c r="R89" t="s">
        <v>40</v>
      </c>
      <c r="S89" t="s">
        <v>32</v>
      </c>
      <c r="T89">
        <v>3</v>
      </c>
      <c r="U89" t="s">
        <v>168</v>
      </c>
      <c r="V89" t="s">
        <v>98</v>
      </c>
      <c r="W89" t="s">
        <v>75</v>
      </c>
      <c r="X89" t="s">
        <v>98</v>
      </c>
      <c r="Y89" t="s">
        <v>169</v>
      </c>
    </row>
    <row r="90" spans="1:25" ht="14.25" customHeight="1" x14ac:dyDescent="0.35">
      <c r="A90" t="s">
        <v>203</v>
      </c>
      <c r="B90">
        <v>16</v>
      </c>
      <c r="C90" t="s">
        <v>26</v>
      </c>
      <c r="D90" t="s">
        <v>27</v>
      </c>
      <c r="E90" t="s">
        <v>55</v>
      </c>
      <c r="F90" t="s">
        <v>29</v>
      </c>
      <c r="G90" t="s">
        <v>87</v>
      </c>
      <c r="H90" t="s">
        <v>31</v>
      </c>
      <c r="I90" t="s">
        <v>32</v>
      </c>
      <c r="J90" t="s">
        <v>49</v>
      </c>
      <c r="K90" t="s">
        <v>34</v>
      </c>
      <c r="L90" t="s">
        <v>103</v>
      </c>
      <c r="M90">
        <v>3</v>
      </c>
      <c r="N90" t="s">
        <v>93</v>
      </c>
      <c r="O90" t="s">
        <v>89</v>
      </c>
      <c r="P90" t="s">
        <v>127</v>
      </c>
      <c r="Q90" t="s">
        <v>65</v>
      </c>
      <c r="R90" t="s">
        <v>116</v>
      </c>
      <c r="S90" t="s">
        <v>74</v>
      </c>
      <c r="T90">
        <v>2</v>
      </c>
      <c r="U90" t="s">
        <v>60</v>
      </c>
      <c r="V90" t="s">
        <v>84</v>
      </c>
      <c r="W90" t="s">
        <v>74</v>
      </c>
      <c r="X90" t="s">
        <v>84</v>
      </c>
      <c r="Y90" t="s">
        <v>76</v>
      </c>
    </row>
    <row r="91" spans="1:25" ht="14.25" customHeight="1" x14ac:dyDescent="0.35">
      <c r="A91" t="s">
        <v>204</v>
      </c>
      <c r="B91">
        <v>62</v>
      </c>
      <c r="C91" t="s">
        <v>63</v>
      </c>
      <c r="D91" t="s">
        <v>27</v>
      </c>
      <c r="E91" t="s">
        <v>28</v>
      </c>
      <c r="F91" t="s">
        <v>29</v>
      </c>
      <c r="G91" t="s">
        <v>87</v>
      </c>
      <c r="H91" t="s">
        <v>48</v>
      </c>
      <c r="I91" t="s">
        <v>32</v>
      </c>
      <c r="J91" t="s">
        <v>92</v>
      </c>
      <c r="K91" t="s">
        <v>34</v>
      </c>
      <c r="L91" t="s">
        <v>103</v>
      </c>
      <c r="M91">
        <v>2</v>
      </c>
      <c r="N91" t="s">
        <v>93</v>
      </c>
      <c r="O91" t="s">
        <v>89</v>
      </c>
      <c r="P91" t="s">
        <v>127</v>
      </c>
      <c r="Q91" t="s">
        <v>94</v>
      </c>
      <c r="R91" t="s">
        <v>101</v>
      </c>
      <c r="S91" t="s">
        <v>74</v>
      </c>
      <c r="T91">
        <v>1</v>
      </c>
      <c r="U91" t="s">
        <v>90</v>
      </c>
      <c r="V91" t="s">
        <v>132</v>
      </c>
      <c r="W91" t="s">
        <v>74</v>
      </c>
      <c r="X91" t="s">
        <v>132</v>
      </c>
      <c r="Y91" t="s">
        <v>76</v>
      </c>
    </row>
    <row r="92" spans="1:25" ht="14.25" customHeight="1" x14ac:dyDescent="0.35">
      <c r="A92" t="s">
        <v>205</v>
      </c>
      <c r="B92">
        <v>28</v>
      </c>
      <c r="C92" t="s">
        <v>106</v>
      </c>
      <c r="D92" t="s">
        <v>27</v>
      </c>
      <c r="E92" t="s">
        <v>78</v>
      </c>
      <c r="F92" t="s">
        <v>68</v>
      </c>
      <c r="G92" t="s">
        <v>87</v>
      </c>
      <c r="H92" t="s">
        <v>107</v>
      </c>
      <c r="I92" t="s">
        <v>32</v>
      </c>
      <c r="J92" t="s">
        <v>92</v>
      </c>
      <c r="K92" t="s">
        <v>34</v>
      </c>
      <c r="L92" t="s">
        <v>35</v>
      </c>
      <c r="M92">
        <v>1</v>
      </c>
      <c r="N92" t="s">
        <v>93</v>
      </c>
      <c r="O92" t="s">
        <v>142</v>
      </c>
      <c r="P92" t="s">
        <v>127</v>
      </c>
      <c r="Q92" t="s">
        <v>94</v>
      </c>
      <c r="R92" t="s">
        <v>101</v>
      </c>
      <c r="S92" t="s">
        <v>74</v>
      </c>
      <c r="T92">
        <v>1</v>
      </c>
      <c r="U92" t="s">
        <v>168</v>
      </c>
      <c r="V92" t="s">
        <v>42</v>
      </c>
      <c r="W92" t="s">
        <v>74</v>
      </c>
      <c r="X92" t="s">
        <v>42</v>
      </c>
      <c r="Y92" t="s">
        <v>76</v>
      </c>
    </row>
    <row r="93" spans="1:25" ht="14.25" customHeight="1" x14ac:dyDescent="0.35">
      <c r="A93" t="s">
        <v>206</v>
      </c>
      <c r="B93">
        <v>16</v>
      </c>
      <c r="C93" t="s">
        <v>26</v>
      </c>
      <c r="D93" t="s">
        <v>27</v>
      </c>
      <c r="E93" t="s">
        <v>28</v>
      </c>
      <c r="F93" t="s">
        <v>29</v>
      </c>
      <c r="G93" t="s">
        <v>30</v>
      </c>
      <c r="H93" t="s">
        <v>31</v>
      </c>
      <c r="I93" t="s">
        <v>32</v>
      </c>
      <c r="J93" t="s">
        <v>79</v>
      </c>
      <c r="K93" t="s">
        <v>34</v>
      </c>
      <c r="L93" t="s">
        <v>103</v>
      </c>
      <c r="M93">
        <v>3</v>
      </c>
      <c r="N93" t="s">
        <v>93</v>
      </c>
      <c r="O93" t="s">
        <v>142</v>
      </c>
      <c r="P93" t="s">
        <v>127</v>
      </c>
      <c r="Q93" t="s">
        <v>94</v>
      </c>
      <c r="R93" t="s">
        <v>101</v>
      </c>
      <c r="S93" t="s">
        <v>74</v>
      </c>
      <c r="T93">
        <v>2</v>
      </c>
      <c r="U93" t="s">
        <v>90</v>
      </c>
      <c r="V93" t="s">
        <v>84</v>
      </c>
      <c r="W93" t="s">
        <v>74</v>
      </c>
      <c r="X93" t="s">
        <v>84</v>
      </c>
      <c r="Y93" t="s">
        <v>76</v>
      </c>
    </row>
    <row r="94" spans="1:25" ht="14.25" customHeight="1" x14ac:dyDescent="0.35">
      <c r="A94" t="s">
        <v>207</v>
      </c>
      <c r="B94">
        <v>37</v>
      </c>
      <c r="C94" t="s">
        <v>67</v>
      </c>
      <c r="D94" t="s">
        <v>27</v>
      </c>
      <c r="E94" t="s">
        <v>118</v>
      </c>
      <c r="F94" t="s">
        <v>68</v>
      </c>
      <c r="G94" t="s">
        <v>72</v>
      </c>
      <c r="H94" t="s">
        <v>48</v>
      </c>
      <c r="I94" t="s">
        <v>32</v>
      </c>
      <c r="J94" t="s">
        <v>92</v>
      </c>
      <c r="K94" t="s">
        <v>34</v>
      </c>
      <c r="L94" t="s">
        <v>50</v>
      </c>
      <c r="M94">
        <v>3</v>
      </c>
      <c r="N94" t="s">
        <v>36</v>
      </c>
      <c r="O94" t="s">
        <v>37</v>
      </c>
      <c r="P94" t="s">
        <v>64</v>
      </c>
      <c r="Q94" t="s">
        <v>52</v>
      </c>
      <c r="R94" t="s">
        <v>40</v>
      </c>
      <c r="S94" t="s">
        <v>32</v>
      </c>
      <c r="T94">
        <v>2</v>
      </c>
      <c r="U94" t="s">
        <v>41</v>
      </c>
      <c r="V94" t="s">
        <v>132</v>
      </c>
      <c r="W94" t="s">
        <v>75</v>
      </c>
      <c r="X94" t="s">
        <v>132</v>
      </c>
      <c r="Y94" t="s">
        <v>43</v>
      </c>
    </row>
    <row r="95" spans="1:25" ht="14.25" customHeight="1" x14ac:dyDescent="0.35">
      <c r="A95" t="s">
        <v>208</v>
      </c>
      <c r="B95">
        <v>15</v>
      </c>
      <c r="C95" t="s">
        <v>26</v>
      </c>
      <c r="D95" t="s">
        <v>27</v>
      </c>
      <c r="E95" t="s">
        <v>28</v>
      </c>
      <c r="F95" t="s">
        <v>29</v>
      </c>
      <c r="G95" t="s">
        <v>87</v>
      </c>
      <c r="H95" t="s">
        <v>31</v>
      </c>
      <c r="I95" t="s">
        <v>32</v>
      </c>
      <c r="J95" t="s">
        <v>49</v>
      </c>
      <c r="K95" t="s">
        <v>34</v>
      </c>
      <c r="L95" t="s">
        <v>35</v>
      </c>
      <c r="M95">
        <v>2</v>
      </c>
      <c r="N95" t="s">
        <v>93</v>
      </c>
      <c r="O95" t="s">
        <v>126</v>
      </c>
      <c r="P95" t="s">
        <v>127</v>
      </c>
      <c r="Q95" t="s">
        <v>65</v>
      </c>
      <c r="R95" t="s">
        <v>101</v>
      </c>
      <c r="S95" t="s">
        <v>32</v>
      </c>
      <c r="T95">
        <v>1</v>
      </c>
      <c r="U95" t="s">
        <v>60</v>
      </c>
      <c r="V95" t="s">
        <v>84</v>
      </c>
      <c r="W95" t="s">
        <v>74</v>
      </c>
      <c r="X95" t="s">
        <v>84</v>
      </c>
      <c r="Y95" t="s">
        <v>61</v>
      </c>
    </row>
    <row r="96" spans="1:25" ht="14.25" customHeight="1" x14ac:dyDescent="0.35">
      <c r="A96" t="s">
        <v>209</v>
      </c>
      <c r="B96">
        <v>44</v>
      </c>
      <c r="C96" t="s">
        <v>45</v>
      </c>
      <c r="D96" t="s">
        <v>27</v>
      </c>
      <c r="E96" t="s">
        <v>28</v>
      </c>
      <c r="F96" t="s">
        <v>181</v>
      </c>
      <c r="G96" t="s">
        <v>30</v>
      </c>
      <c r="H96" t="s">
        <v>48</v>
      </c>
      <c r="I96" t="s">
        <v>32</v>
      </c>
      <c r="J96" t="s">
        <v>49</v>
      </c>
      <c r="K96" t="s">
        <v>34</v>
      </c>
      <c r="L96" t="s">
        <v>35</v>
      </c>
      <c r="M96">
        <v>2</v>
      </c>
      <c r="N96" t="s">
        <v>88</v>
      </c>
      <c r="O96" t="s">
        <v>89</v>
      </c>
      <c r="P96" t="s">
        <v>127</v>
      </c>
      <c r="Q96" t="s">
        <v>94</v>
      </c>
      <c r="R96" t="s">
        <v>101</v>
      </c>
      <c r="S96" t="s">
        <v>74</v>
      </c>
      <c r="T96">
        <v>2</v>
      </c>
      <c r="U96" t="s">
        <v>90</v>
      </c>
      <c r="V96" t="s">
        <v>84</v>
      </c>
      <c r="W96" t="s">
        <v>74</v>
      </c>
      <c r="X96" t="s">
        <v>84</v>
      </c>
      <c r="Y96" t="s">
        <v>76</v>
      </c>
    </row>
    <row r="97" spans="1:25" ht="14.25" customHeight="1" x14ac:dyDescent="0.35">
      <c r="A97" t="s">
        <v>210</v>
      </c>
      <c r="B97">
        <v>44</v>
      </c>
      <c r="C97" t="s">
        <v>45</v>
      </c>
      <c r="D97" t="s">
        <v>27</v>
      </c>
      <c r="E97" t="s">
        <v>33</v>
      </c>
      <c r="F97" t="s">
        <v>46</v>
      </c>
      <c r="G97" t="s">
        <v>72</v>
      </c>
      <c r="H97" t="s">
        <v>48</v>
      </c>
      <c r="I97" t="s">
        <v>32</v>
      </c>
      <c r="J97" t="s">
        <v>92</v>
      </c>
      <c r="K97" t="s">
        <v>80</v>
      </c>
      <c r="L97" t="s">
        <v>80</v>
      </c>
      <c r="M97">
        <v>0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74</v>
      </c>
      <c r="T97" t="s">
        <v>82</v>
      </c>
      <c r="U97" t="s">
        <v>90</v>
      </c>
      <c r="V97" t="s">
        <v>84</v>
      </c>
      <c r="W97" t="s">
        <v>32</v>
      </c>
      <c r="X97" t="s">
        <v>84</v>
      </c>
      <c r="Y97" t="s">
        <v>124</v>
      </c>
    </row>
    <row r="98" spans="1:25" ht="14.25" customHeight="1" x14ac:dyDescent="0.35">
      <c r="A98" t="s">
        <v>211</v>
      </c>
      <c r="B98">
        <v>50</v>
      </c>
      <c r="C98" t="s">
        <v>63</v>
      </c>
      <c r="D98" t="s">
        <v>27</v>
      </c>
      <c r="E98" t="s">
        <v>28</v>
      </c>
      <c r="F98" t="s">
        <v>68</v>
      </c>
      <c r="G98" t="s">
        <v>72</v>
      </c>
      <c r="H98" t="s">
        <v>48</v>
      </c>
      <c r="I98" t="s">
        <v>32</v>
      </c>
      <c r="J98" t="s">
        <v>49</v>
      </c>
      <c r="K98" t="s">
        <v>80</v>
      </c>
      <c r="L98" t="s">
        <v>80</v>
      </c>
      <c r="M98">
        <v>0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74</v>
      </c>
      <c r="T98" t="s">
        <v>82</v>
      </c>
      <c r="U98" t="s">
        <v>110</v>
      </c>
      <c r="V98" t="s">
        <v>84</v>
      </c>
      <c r="W98" t="s">
        <v>32</v>
      </c>
      <c r="X98" t="s">
        <v>84</v>
      </c>
      <c r="Y98" t="s">
        <v>111</v>
      </c>
    </row>
    <row r="99" spans="1:25" ht="14.25" customHeight="1" x14ac:dyDescent="0.35">
      <c r="A99" t="s">
        <v>212</v>
      </c>
      <c r="B99">
        <v>62</v>
      </c>
      <c r="C99" t="s">
        <v>63</v>
      </c>
      <c r="D99" t="s">
        <v>27</v>
      </c>
      <c r="E99" t="s">
        <v>28</v>
      </c>
      <c r="F99" t="s">
        <v>29</v>
      </c>
      <c r="G99" t="s">
        <v>47</v>
      </c>
      <c r="H99" t="s">
        <v>48</v>
      </c>
      <c r="I99" t="s">
        <v>74</v>
      </c>
      <c r="J99" t="s">
        <v>96</v>
      </c>
      <c r="K99" t="s">
        <v>80</v>
      </c>
      <c r="L99" t="s">
        <v>80</v>
      </c>
      <c r="M99">
        <v>0</v>
      </c>
      <c r="N99" t="s">
        <v>81</v>
      </c>
      <c r="O99" t="s">
        <v>81</v>
      </c>
      <c r="P99" t="s">
        <v>81</v>
      </c>
      <c r="Q99" t="s">
        <v>81</v>
      </c>
      <c r="R99" t="s">
        <v>81</v>
      </c>
      <c r="S99" t="s">
        <v>74</v>
      </c>
      <c r="T99" t="s">
        <v>82</v>
      </c>
      <c r="U99" t="s">
        <v>97</v>
      </c>
      <c r="V99" t="s">
        <v>42</v>
      </c>
      <c r="W99" t="s">
        <v>75</v>
      </c>
      <c r="X99" t="s">
        <v>42</v>
      </c>
      <c r="Y99" t="s">
        <v>99</v>
      </c>
    </row>
    <row r="100" spans="1:25" ht="14.25" customHeight="1" x14ac:dyDescent="0.35">
      <c r="A100" t="s">
        <v>213</v>
      </c>
      <c r="B100">
        <v>19</v>
      </c>
      <c r="C100" t="s">
        <v>26</v>
      </c>
      <c r="D100" t="s">
        <v>27</v>
      </c>
      <c r="E100" t="s">
        <v>28</v>
      </c>
      <c r="F100" t="s">
        <v>29</v>
      </c>
      <c r="G100" t="s">
        <v>87</v>
      </c>
      <c r="H100" t="s">
        <v>107</v>
      </c>
      <c r="I100" t="s">
        <v>32</v>
      </c>
      <c r="J100" t="s">
        <v>79</v>
      </c>
      <c r="K100" t="s">
        <v>80</v>
      </c>
      <c r="L100" t="s">
        <v>80</v>
      </c>
      <c r="M100">
        <v>0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74</v>
      </c>
      <c r="T100" t="s">
        <v>82</v>
      </c>
      <c r="U100" t="s">
        <v>147</v>
      </c>
      <c r="V100" t="s">
        <v>42</v>
      </c>
      <c r="W100" t="s">
        <v>32</v>
      </c>
      <c r="X100" t="s">
        <v>42</v>
      </c>
      <c r="Y100" t="s">
        <v>148</v>
      </c>
    </row>
    <row r="101" spans="1:25" ht="14.25" customHeight="1" x14ac:dyDescent="0.35">
      <c r="A101" t="s">
        <v>214</v>
      </c>
      <c r="B101">
        <v>41</v>
      </c>
      <c r="C101" t="s">
        <v>45</v>
      </c>
      <c r="D101" t="s">
        <v>27</v>
      </c>
      <c r="E101" t="s">
        <v>78</v>
      </c>
      <c r="F101" t="s">
        <v>29</v>
      </c>
      <c r="G101" t="s">
        <v>87</v>
      </c>
      <c r="H101" t="s">
        <v>48</v>
      </c>
      <c r="I101" t="s">
        <v>32</v>
      </c>
      <c r="J101" t="s">
        <v>79</v>
      </c>
      <c r="K101" t="s">
        <v>80</v>
      </c>
      <c r="L101" t="s">
        <v>80</v>
      </c>
      <c r="M101">
        <v>0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74</v>
      </c>
      <c r="T101" t="s">
        <v>82</v>
      </c>
      <c r="U101" t="s">
        <v>83</v>
      </c>
      <c r="V101" t="s">
        <v>98</v>
      </c>
      <c r="W101" t="s">
        <v>75</v>
      </c>
      <c r="X101" t="s">
        <v>98</v>
      </c>
      <c r="Y101" t="s">
        <v>85</v>
      </c>
    </row>
    <row r="102" spans="1:25" ht="14.25" customHeight="1" x14ac:dyDescent="0.35">
      <c r="A102" t="s">
        <v>215</v>
      </c>
      <c r="B102">
        <v>48</v>
      </c>
      <c r="C102" t="s">
        <v>45</v>
      </c>
      <c r="D102" t="s">
        <v>27</v>
      </c>
      <c r="E102" t="s">
        <v>118</v>
      </c>
      <c r="F102" t="s">
        <v>29</v>
      </c>
      <c r="G102" t="s">
        <v>47</v>
      </c>
      <c r="H102" t="s">
        <v>48</v>
      </c>
      <c r="I102" t="s">
        <v>32</v>
      </c>
      <c r="J102" t="s">
        <v>79</v>
      </c>
      <c r="K102" t="s">
        <v>34</v>
      </c>
      <c r="L102" t="s">
        <v>50</v>
      </c>
      <c r="M102">
        <v>1</v>
      </c>
      <c r="N102" t="s">
        <v>36</v>
      </c>
      <c r="O102" t="s">
        <v>37</v>
      </c>
      <c r="P102" t="s">
        <v>51</v>
      </c>
      <c r="Q102" t="s">
        <v>65</v>
      </c>
      <c r="R102" t="s">
        <v>101</v>
      </c>
      <c r="S102" t="s">
        <v>32</v>
      </c>
      <c r="T102">
        <v>3</v>
      </c>
      <c r="U102" t="s">
        <v>90</v>
      </c>
      <c r="V102" t="s">
        <v>42</v>
      </c>
      <c r="W102" t="s">
        <v>75</v>
      </c>
      <c r="X102" t="s">
        <v>42</v>
      </c>
      <c r="Y102" t="s">
        <v>108</v>
      </c>
    </row>
    <row r="103" spans="1:25" ht="14.25" customHeight="1" x14ac:dyDescent="0.35">
      <c r="A103" t="s">
        <v>216</v>
      </c>
      <c r="B103">
        <v>27</v>
      </c>
      <c r="C103" t="s">
        <v>106</v>
      </c>
      <c r="D103" t="s">
        <v>27</v>
      </c>
      <c r="E103" t="s">
        <v>78</v>
      </c>
      <c r="F103" t="s">
        <v>29</v>
      </c>
      <c r="G103" t="s">
        <v>87</v>
      </c>
      <c r="H103" t="s">
        <v>107</v>
      </c>
      <c r="I103" t="s">
        <v>74</v>
      </c>
      <c r="J103" t="s">
        <v>96</v>
      </c>
      <c r="K103" t="s">
        <v>80</v>
      </c>
      <c r="L103" t="s">
        <v>80</v>
      </c>
      <c r="M103">
        <v>0</v>
      </c>
      <c r="N103" t="s">
        <v>81</v>
      </c>
      <c r="O103" t="s">
        <v>81</v>
      </c>
      <c r="P103" t="s">
        <v>81</v>
      </c>
      <c r="Q103" t="s">
        <v>81</v>
      </c>
      <c r="R103" t="s">
        <v>81</v>
      </c>
      <c r="S103" t="s">
        <v>74</v>
      </c>
      <c r="T103" t="s">
        <v>82</v>
      </c>
      <c r="U103" t="s">
        <v>97</v>
      </c>
      <c r="V103" t="s">
        <v>84</v>
      </c>
      <c r="W103" t="s">
        <v>74</v>
      </c>
      <c r="X103" t="s">
        <v>84</v>
      </c>
      <c r="Y103" t="s">
        <v>99</v>
      </c>
    </row>
    <row r="104" spans="1:25" ht="14.25" customHeight="1" x14ac:dyDescent="0.35">
      <c r="A104" t="s">
        <v>217</v>
      </c>
      <c r="B104">
        <v>35</v>
      </c>
      <c r="C104" t="s">
        <v>67</v>
      </c>
      <c r="D104" t="s">
        <v>27</v>
      </c>
      <c r="E104" t="s">
        <v>78</v>
      </c>
      <c r="F104" t="s">
        <v>29</v>
      </c>
      <c r="G104" t="s">
        <v>87</v>
      </c>
      <c r="H104" t="s">
        <v>48</v>
      </c>
      <c r="I104" t="s">
        <v>32</v>
      </c>
      <c r="J104" t="s">
        <v>73</v>
      </c>
      <c r="K104" t="s">
        <v>34</v>
      </c>
      <c r="L104" t="s">
        <v>35</v>
      </c>
      <c r="M104">
        <v>4</v>
      </c>
      <c r="N104" t="s">
        <v>88</v>
      </c>
      <c r="O104" t="s">
        <v>89</v>
      </c>
      <c r="P104" t="s">
        <v>58</v>
      </c>
      <c r="Q104" t="s">
        <v>52</v>
      </c>
      <c r="R104" t="s">
        <v>40</v>
      </c>
      <c r="S104" t="s">
        <v>32</v>
      </c>
      <c r="T104">
        <v>4</v>
      </c>
      <c r="U104" t="s">
        <v>90</v>
      </c>
      <c r="V104" t="s">
        <v>42</v>
      </c>
      <c r="W104" t="s">
        <v>32</v>
      </c>
      <c r="X104" t="s">
        <v>42</v>
      </c>
      <c r="Y104" t="s">
        <v>108</v>
      </c>
    </row>
    <row r="105" spans="1:25" ht="14.25" customHeight="1" x14ac:dyDescent="0.35">
      <c r="A105" t="s">
        <v>218</v>
      </c>
      <c r="B105">
        <v>43</v>
      </c>
      <c r="C105" t="s">
        <v>45</v>
      </c>
      <c r="D105" t="s">
        <v>27</v>
      </c>
      <c r="E105" t="s">
        <v>28</v>
      </c>
      <c r="F105" t="s">
        <v>29</v>
      </c>
      <c r="G105" t="s">
        <v>87</v>
      </c>
      <c r="H105" t="s">
        <v>48</v>
      </c>
      <c r="I105" t="s">
        <v>32</v>
      </c>
      <c r="J105" t="s">
        <v>33</v>
      </c>
      <c r="K105" t="s">
        <v>80</v>
      </c>
      <c r="L105" t="s">
        <v>80</v>
      </c>
      <c r="M105">
        <v>0</v>
      </c>
      <c r="N105" t="s">
        <v>81</v>
      </c>
      <c r="O105" t="s">
        <v>81</v>
      </c>
      <c r="P105" t="s">
        <v>81</v>
      </c>
      <c r="Q105" t="s">
        <v>81</v>
      </c>
      <c r="R105" t="s">
        <v>81</v>
      </c>
      <c r="S105" t="s">
        <v>74</v>
      </c>
      <c r="T105" t="s">
        <v>82</v>
      </c>
      <c r="U105" t="s">
        <v>147</v>
      </c>
      <c r="V105" t="s">
        <v>42</v>
      </c>
      <c r="W105" t="s">
        <v>75</v>
      </c>
      <c r="X105" t="s">
        <v>42</v>
      </c>
      <c r="Y105" t="s">
        <v>148</v>
      </c>
    </row>
    <row r="106" spans="1:25" ht="14.25" customHeight="1" x14ac:dyDescent="0.35">
      <c r="A106" t="s">
        <v>219</v>
      </c>
      <c r="B106">
        <v>51</v>
      </c>
      <c r="C106" t="s">
        <v>63</v>
      </c>
      <c r="D106" t="s">
        <v>27</v>
      </c>
      <c r="E106" t="s">
        <v>28</v>
      </c>
      <c r="F106" t="s">
        <v>181</v>
      </c>
      <c r="G106" t="s">
        <v>87</v>
      </c>
      <c r="H106" t="s">
        <v>48</v>
      </c>
      <c r="I106" t="s">
        <v>74</v>
      </c>
      <c r="J106" t="s">
        <v>96</v>
      </c>
      <c r="K106" t="s">
        <v>80</v>
      </c>
      <c r="L106" t="s">
        <v>80</v>
      </c>
      <c r="M106">
        <v>0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74</v>
      </c>
      <c r="T106" t="s">
        <v>82</v>
      </c>
      <c r="U106" t="s">
        <v>97</v>
      </c>
      <c r="V106" t="s">
        <v>42</v>
      </c>
      <c r="W106" t="s">
        <v>75</v>
      </c>
      <c r="X106" t="s">
        <v>42</v>
      </c>
      <c r="Y106" t="s">
        <v>99</v>
      </c>
    </row>
    <row r="107" spans="1:25" ht="14.25" customHeight="1" x14ac:dyDescent="0.35">
      <c r="A107" t="s">
        <v>220</v>
      </c>
      <c r="B107">
        <v>52</v>
      </c>
      <c r="C107" t="s">
        <v>63</v>
      </c>
      <c r="D107" t="s">
        <v>27</v>
      </c>
      <c r="E107" t="s">
        <v>78</v>
      </c>
      <c r="F107" t="s">
        <v>29</v>
      </c>
      <c r="G107" t="s">
        <v>30</v>
      </c>
      <c r="H107" t="s">
        <v>48</v>
      </c>
      <c r="I107" t="s">
        <v>32</v>
      </c>
      <c r="J107" t="s">
        <v>33</v>
      </c>
      <c r="K107" t="s">
        <v>34</v>
      </c>
      <c r="L107" t="s">
        <v>50</v>
      </c>
      <c r="M107">
        <v>5</v>
      </c>
      <c r="N107" t="s">
        <v>88</v>
      </c>
      <c r="O107" t="s">
        <v>104</v>
      </c>
      <c r="P107" t="s">
        <v>58</v>
      </c>
      <c r="Q107" t="s">
        <v>59</v>
      </c>
      <c r="R107" t="s">
        <v>53</v>
      </c>
      <c r="S107" t="s">
        <v>74</v>
      </c>
      <c r="T107">
        <v>4</v>
      </c>
      <c r="U107" t="s">
        <v>168</v>
      </c>
      <c r="V107" t="s">
        <v>42</v>
      </c>
      <c r="W107" t="s">
        <v>32</v>
      </c>
      <c r="X107" t="s">
        <v>42</v>
      </c>
      <c r="Y107" t="s">
        <v>76</v>
      </c>
    </row>
    <row r="108" spans="1:25" ht="14.25" customHeight="1" x14ac:dyDescent="0.35">
      <c r="A108" t="s">
        <v>221</v>
      </c>
      <c r="B108">
        <v>13</v>
      </c>
      <c r="C108" t="s">
        <v>26</v>
      </c>
      <c r="D108" t="s">
        <v>27</v>
      </c>
      <c r="E108" t="s">
        <v>55</v>
      </c>
      <c r="F108" t="s">
        <v>56</v>
      </c>
      <c r="G108" t="s">
        <v>72</v>
      </c>
      <c r="H108" t="s">
        <v>31</v>
      </c>
      <c r="I108" t="s">
        <v>32</v>
      </c>
      <c r="J108" t="s">
        <v>57</v>
      </c>
      <c r="K108" t="s">
        <v>34</v>
      </c>
      <c r="L108" t="s">
        <v>50</v>
      </c>
      <c r="M108">
        <v>5</v>
      </c>
      <c r="N108" t="s">
        <v>36</v>
      </c>
      <c r="O108" t="s">
        <v>37</v>
      </c>
      <c r="P108" t="s">
        <v>58</v>
      </c>
      <c r="Q108" t="s">
        <v>59</v>
      </c>
      <c r="R108" t="s">
        <v>70</v>
      </c>
      <c r="S108" t="s">
        <v>74</v>
      </c>
      <c r="T108">
        <v>3</v>
      </c>
      <c r="U108" t="s">
        <v>90</v>
      </c>
      <c r="V108" t="s">
        <v>98</v>
      </c>
      <c r="W108" t="s">
        <v>32</v>
      </c>
      <c r="X108" t="s">
        <v>98</v>
      </c>
      <c r="Y108" t="s">
        <v>76</v>
      </c>
    </row>
    <row r="109" spans="1:25" ht="14.25" customHeight="1" x14ac:dyDescent="0.35">
      <c r="A109" t="s">
        <v>222</v>
      </c>
      <c r="B109">
        <v>32</v>
      </c>
      <c r="C109" t="s">
        <v>67</v>
      </c>
      <c r="D109" t="s">
        <v>27</v>
      </c>
      <c r="E109" t="s">
        <v>78</v>
      </c>
      <c r="F109" t="s">
        <v>181</v>
      </c>
      <c r="G109" t="s">
        <v>87</v>
      </c>
      <c r="H109" t="s">
        <v>48</v>
      </c>
      <c r="I109" t="s">
        <v>32</v>
      </c>
      <c r="J109" t="s">
        <v>49</v>
      </c>
      <c r="K109" t="s">
        <v>34</v>
      </c>
      <c r="L109" t="s">
        <v>35</v>
      </c>
      <c r="M109">
        <v>2</v>
      </c>
      <c r="N109" t="s">
        <v>93</v>
      </c>
      <c r="O109" t="s">
        <v>89</v>
      </c>
      <c r="P109" t="s">
        <v>51</v>
      </c>
      <c r="Q109" t="s">
        <v>65</v>
      </c>
      <c r="R109" t="s">
        <v>101</v>
      </c>
      <c r="S109" t="s">
        <v>74</v>
      </c>
      <c r="T109">
        <v>2</v>
      </c>
      <c r="U109" t="s">
        <v>41</v>
      </c>
      <c r="V109" t="s">
        <v>114</v>
      </c>
      <c r="W109" t="s">
        <v>75</v>
      </c>
      <c r="X109" t="s">
        <v>114</v>
      </c>
      <c r="Y109" t="s">
        <v>76</v>
      </c>
    </row>
    <row r="110" spans="1:25" ht="14.25" customHeight="1" x14ac:dyDescent="0.35">
      <c r="A110" t="s">
        <v>223</v>
      </c>
      <c r="B110">
        <v>16</v>
      </c>
      <c r="C110" t="s">
        <v>26</v>
      </c>
      <c r="D110" t="s">
        <v>27</v>
      </c>
      <c r="E110" t="s">
        <v>28</v>
      </c>
      <c r="F110" t="s">
        <v>68</v>
      </c>
      <c r="G110" t="s">
        <v>30</v>
      </c>
      <c r="H110" t="s">
        <v>31</v>
      </c>
      <c r="I110" t="s">
        <v>74</v>
      </c>
      <c r="J110" t="s">
        <v>96</v>
      </c>
      <c r="K110" t="s">
        <v>80</v>
      </c>
      <c r="L110" t="s">
        <v>80</v>
      </c>
      <c r="M110">
        <v>0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74</v>
      </c>
      <c r="T110" t="s">
        <v>82</v>
      </c>
      <c r="U110" t="s">
        <v>97</v>
      </c>
      <c r="V110" t="s">
        <v>98</v>
      </c>
      <c r="W110" t="s">
        <v>32</v>
      </c>
      <c r="X110" t="s">
        <v>98</v>
      </c>
      <c r="Y110" t="s">
        <v>99</v>
      </c>
    </row>
    <row r="111" spans="1:25" ht="14.25" customHeight="1" x14ac:dyDescent="0.35">
      <c r="A111" t="s">
        <v>224</v>
      </c>
      <c r="B111">
        <v>36</v>
      </c>
      <c r="C111" t="s">
        <v>67</v>
      </c>
      <c r="D111" t="s">
        <v>27</v>
      </c>
      <c r="E111" t="s">
        <v>28</v>
      </c>
      <c r="F111" t="s">
        <v>29</v>
      </c>
      <c r="G111" t="s">
        <v>87</v>
      </c>
      <c r="H111" t="s">
        <v>48</v>
      </c>
      <c r="I111" t="s">
        <v>74</v>
      </c>
      <c r="J111" t="s">
        <v>96</v>
      </c>
      <c r="K111" t="s">
        <v>80</v>
      </c>
      <c r="L111" t="s">
        <v>80</v>
      </c>
      <c r="M111">
        <v>0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74</v>
      </c>
      <c r="T111" t="s">
        <v>82</v>
      </c>
      <c r="U111" t="s">
        <v>97</v>
      </c>
      <c r="V111" t="s">
        <v>114</v>
      </c>
      <c r="W111" t="s">
        <v>75</v>
      </c>
      <c r="X111" t="s">
        <v>114</v>
      </c>
      <c r="Y111" t="s">
        <v>99</v>
      </c>
    </row>
    <row r="112" spans="1:25" ht="14.25" customHeight="1" x14ac:dyDescent="0.35">
      <c r="A112" t="s">
        <v>225</v>
      </c>
      <c r="B112">
        <v>40</v>
      </c>
      <c r="C112" t="s">
        <v>45</v>
      </c>
      <c r="D112" t="s">
        <v>27</v>
      </c>
      <c r="E112" t="s">
        <v>33</v>
      </c>
      <c r="F112" t="s">
        <v>56</v>
      </c>
      <c r="G112" t="s">
        <v>87</v>
      </c>
      <c r="H112" t="s">
        <v>48</v>
      </c>
      <c r="I112" t="s">
        <v>32</v>
      </c>
      <c r="J112" t="s">
        <v>33</v>
      </c>
      <c r="K112" t="s">
        <v>80</v>
      </c>
      <c r="L112" t="s">
        <v>80</v>
      </c>
      <c r="M112">
        <v>0</v>
      </c>
      <c r="N112" t="s">
        <v>81</v>
      </c>
      <c r="O112" t="s">
        <v>81</v>
      </c>
      <c r="P112" t="s">
        <v>81</v>
      </c>
      <c r="Q112" t="s">
        <v>81</v>
      </c>
      <c r="R112" t="s">
        <v>81</v>
      </c>
      <c r="S112" t="s">
        <v>74</v>
      </c>
      <c r="T112" t="s">
        <v>82</v>
      </c>
      <c r="U112" t="s">
        <v>110</v>
      </c>
      <c r="V112" t="s">
        <v>42</v>
      </c>
      <c r="W112" t="s">
        <v>75</v>
      </c>
      <c r="X112" t="s">
        <v>42</v>
      </c>
      <c r="Y112" t="s">
        <v>111</v>
      </c>
    </row>
    <row r="113" spans="1:25" ht="14.25" customHeight="1" x14ac:dyDescent="0.35">
      <c r="A113" t="s">
        <v>226</v>
      </c>
      <c r="B113">
        <v>28</v>
      </c>
      <c r="C113" t="s">
        <v>106</v>
      </c>
      <c r="D113" t="s">
        <v>27</v>
      </c>
      <c r="E113" t="s">
        <v>28</v>
      </c>
      <c r="F113" t="s">
        <v>29</v>
      </c>
      <c r="G113" t="s">
        <v>87</v>
      </c>
      <c r="H113" t="s">
        <v>107</v>
      </c>
      <c r="I113" t="s">
        <v>32</v>
      </c>
      <c r="J113" t="s">
        <v>79</v>
      </c>
      <c r="K113" t="s">
        <v>34</v>
      </c>
      <c r="L113" t="s">
        <v>50</v>
      </c>
      <c r="M113">
        <v>4</v>
      </c>
      <c r="N113" t="s">
        <v>93</v>
      </c>
      <c r="O113" t="s">
        <v>89</v>
      </c>
      <c r="P113" t="s">
        <v>127</v>
      </c>
      <c r="Q113" t="s">
        <v>65</v>
      </c>
      <c r="R113" t="s">
        <v>116</v>
      </c>
      <c r="S113" t="s">
        <v>32</v>
      </c>
      <c r="T113">
        <v>3</v>
      </c>
      <c r="U113" t="s">
        <v>121</v>
      </c>
      <c r="V113" t="s">
        <v>132</v>
      </c>
      <c r="W113" t="s">
        <v>74</v>
      </c>
      <c r="X113" t="s">
        <v>132</v>
      </c>
      <c r="Y113" t="s">
        <v>122</v>
      </c>
    </row>
    <row r="114" spans="1:25" ht="14.25" customHeight="1" x14ac:dyDescent="0.35">
      <c r="A114" t="s">
        <v>227</v>
      </c>
      <c r="B114">
        <v>56</v>
      </c>
      <c r="C114" t="s">
        <v>63</v>
      </c>
      <c r="D114" t="s">
        <v>27</v>
      </c>
      <c r="E114" t="s">
        <v>33</v>
      </c>
      <c r="F114" t="s">
        <v>56</v>
      </c>
      <c r="G114" t="s">
        <v>87</v>
      </c>
      <c r="H114" t="s">
        <v>48</v>
      </c>
      <c r="I114" t="s">
        <v>32</v>
      </c>
      <c r="J114" t="s">
        <v>49</v>
      </c>
      <c r="K114" t="s">
        <v>80</v>
      </c>
      <c r="L114" t="s">
        <v>80</v>
      </c>
      <c r="M114">
        <v>0</v>
      </c>
      <c r="N114" t="s">
        <v>81</v>
      </c>
      <c r="O114" t="s">
        <v>81</v>
      </c>
      <c r="P114" t="s">
        <v>81</v>
      </c>
      <c r="Q114" t="s">
        <v>81</v>
      </c>
      <c r="R114" t="s">
        <v>81</v>
      </c>
      <c r="S114" t="s">
        <v>74</v>
      </c>
      <c r="T114" t="s">
        <v>82</v>
      </c>
      <c r="U114" t="s">
        <v>147</v>
      </c>
      <c r="V114" t="s">
        <v>98</v>
      </c>
      <c r="W114" t="s">
        <v>74</v>
      </c>
      <c r="X114" t="s">
        <v>98</v>
      </c>
      <c r="Y114" t="s">
        <v>148</v>
      </c>
    </row>
    <row r="115" spans="1:25" ht="14.25" customHeight="1" x14ac:dyDescent="0.35">
      <c r="A115" t="s">
        <v>228</v>
      </c>
      <c r="B115">
        <v>53</v>
      </c>
      <c r="C115" t="s">
        <v>63</v>
      </c>
      <c r="D115" t="s">
        <v>27</v>
      </c>
      <c r="E115" t="s">
        <v>28</v>
      </c>
      <c r="F115" t="s">
        <v>29</v>
      </c>
      <c r="G115" t="s">
        <v>30</v>
      </c>
      <c r="H115" t="s">
        <v>48</v>
      </c>
      <c r="I115" t="s">
        <v>32</v>
      </c>
      <c r="J115" t="s">
        <v>33</v>
      </c>
      <c r="K115" t="s">
        <v>80</v>
      </c>
      <c r="L115" t="s">
        <v>80</v>
      </c>
      <c r="M115">
        <v>0</v>
      </c>
      <c r="N115" t="s">
        <v>81</v>
      </c>
      <c r="O115" t="s">
        <v>81</v>
      </c>
      <c r="P115" t="s">
        <v>81</v>
      </c>
      <c r="Q115" t="s">
        <v>81</v>
      </c>
      <c r="R115" t="s">
        <v>81</v>
      </c>
      <c r="S115" t="s">
        <v>74</v>
      </c>
      <c r="T115" t="s">
        <v>82</v>
      </c>
      <c r="U115" t="s">
        <v>147</v>
      </c>
      <c r="V115" t="s">
        <v>84</v>
      </c>
      <c r="W115" t="s">
        <v>75</v>
      </c>
      <c r="X115" t="s">
        <v>84</v>
      </c>
      <c r="Y115" t="s">
        <v>148</v>
      </c>
    </row>
    <row r="116" spans="1:25" ht="14.25" customHeight="1" x14ac:dyDescent="0.35">
      <c r="A116" t="s">
        <v>229</v>
      </c>
      <c r="B116">
        <v>44</v>
      </c>
      <c r="C116" t="s">
        <v>45</v>
      </c>
      <c r="D116" t="s">
        <v>27</v>
      </c>
      <c r="E116" t="s">
        <v>28</v>
      </c>
      <c r="F116" t="s">
        <v>68</v>
      </c>
      <c r="G116" t="s">
        <v>30</v>
      </c>
      <c r="H116" t="s">
        <v>48</v>
      </c>
      <c r="I116" t="s">
        <v>32</v>
      </c>
      <c r="J116" t="s">
        <v>69</v>
      </c>
      <c r="K116" t="s">
        <v>34</v>
      </c>
      <c r="L116" t="s">
        <v>103</v>
      </c>
      <c r="M116">
        <v>3</v>
      </c>
      <c r="N116" t="s">
        <v>88</v>
      </c>
      <c r="O116" t="s">
        <v>104</v>
      </c>
      <c r="P116" t="s">
        <v>51</v>
      </c>
      <c r="Q116" t="s">
        <v>65</v>
      </c>
      <c r="R116" t="s">
        <v>116</v>
      </c>
      <c r="S116" t="s">
        <v>74</v>
      </c>
      <c r="T116">
        <v>2</v>
      </c>
      <c r="U116" t="s">
        <v>121</v>
      </c>
      <c r="V116" t="s">
        <v>98</v>
      </c>
      <c r="W116" t="s">
        <v>74</v>
      </c>
      <c r="X116" t="s">
        <v>98</v>
      </c>
      <c r="Y116" t="s">
        <v>76</v>
      </c>
    </row>
    <row r="117" spans="1:25" ht="14.25" customHeight="1" x14ac:dyDescent="0.35">
      <c r="A117" t="s">
        <v>230</v>
      </c>
      <c r="B117">
        <v>55</v>
      </c>
      <c r="C117" t="s">
        <v>63</v>
      </c>
      <c r="D117" t="s">
        <v>27</v>
      </c>
      <c r="E117" t="s">
        <v>118</v>
      </c>
      <c r="F117" t="s">
        <v>29</v>
      </c>
      <c r="G117" t="s">
        <v>47</v>
      </c>
      <c r="H117" t="s">
        <v>48</v>
      </c>
      <c r="I117" t="s">
        <v>74</v>
      </c>
      <c r="J117" t="s">
        <v>96</v>
      </c>
      <c r="K117" t="s">
        <v>80</v>
      </c>
      <c r="L117" t="s">
        <v>80</v>
      </c>
      <c r="M117">
        <v>0</v>
      </c>
      <c r="N117" t="s">
        <v>81</v>
      </c>
      <c r="O117" t="s">
        <v>81</v>
      </c>
      <c r="P117" t="s">
        <v>81</v>
      </c>
      <c r="Q117" t="s">
        <v>81</v>
      </c>
      <c r="R117" t="s">
        <v>81</v>
      </c>
      <c r="S117" t="s">
        <v>74</v>
      </c>
      <c r="T117" t="s">
        <v>82</v>
      </c>
      <c r="U117" t="s">
        <v>97</v>
      </c>
      <c r="V117" t="s">
        <v>84</v>
      </c>
      <c r="W117" t="s">
        <v>74</v>
      </c>
      <c r="X117" t="s">
        <v>84</v>
      </c>
      <c r="Y117" t="s">
        <v>99</v>
      </c>
    </row>
    <row r="118" spans="1:25" ht="14.25" customHeight="1" x14ac:dyDescent="0.35">
      <c r="A118" t="s">
        <v>231</v>
      </c>
      <c r="B118">
        <v>43</v>
      </c>
      <c r="C118" t="s">
        <v>45</v>
      </c>
      <c r="D118" t="s">
        <v>27</v>
      </c>
      <c r="E118" t="s">
        <v>78</v>
      </c>
      <c r="F118" t="s">
        <v>29</v>
      </c>
      <c r="G118" t="s">
        <v>30</v>
      </c>
      <c r="H118" t="s">
        <v>48</v>
      </c>
      <c r="I118" t="s">
        <v>32</v>
      </c>
      <c r="J118" t="s">
        <v>33</v>
      </c>
      <c r="K118" t="s">
        <v>34</v>
      </c>
      <c r="L118" t="s">
        <v>50</v>
      </c>
      <c r="M118">
        <v>2</v>
      </c>
      <c r="N118" t="s">
        <v>88</v>
      </c>
      <c r="O118" t="s">
        <v>89</v>
      </c>
      <c r="P118" t="s">
        <v>51</v>
      </c>
      <c r="Q118" t="s">
        <v>94</v>
      </c>
      <c r="R118" t="s">
        <v>101</v>
      </c>
      <c r="S118" t="s">
        <v>74</v>
      </c>
      <c r="T118">
        <v>1</v>
      </c>
      <c r="U118" t="s">
        <v>41</v>
      </c>
      <c r="V118" t="s">
        <v>114</v>
      </c>
      <c r="W118" t="s">
        <v>74</v>
      </c>
      <c r="X118" t="s">
        <v>114</v>
      </c>
      <c r="Y118" t="s">
        <v>76</v>
      </c>
    </row>
    <row r="119" spans="1:25" ht="14.25" customHeight="1" x14ac:dyDescent="0.35">
      <c r="A119" t="s">
        <v>232</v>
      </c>
      <c r="B119">
        <v>60</v>
      </c>
      <c r="C119" t="s">
        <v>63</v>
      </c>
      <c r="D119" t="s">
        <v>27</v>
      </c>
      <c r="E119" t="s">
        <v>33</v>
      </c>
      <c r="F119" t="s">
        <v>46</v>
      </c>
      <c r="G119" t="s">
        <v>30</v>
      </c>
      <c r="H119" t="s">
        <v>119</v>
      </c>
      <c r="I119" t="s">
        <v>74</v>
      </c>
      <c r="J119" t="s">
        <v>96</v>
      </c>
      <c r="K119" t="s">
        <v>80</v>
      </c>
      <c r="L119" t="s">
        <v>80</v>
      </c>
      <c r="M119">
        <v>0</v>
      </c>
      <c r="N119" t="s">
        <v>81</v>
      </c>
      <c r="O119" t="s">
        <v>81</v>
      </c>
      <c r="P119" t="s">
        <v>81</v>
      </c>
      <c r="Q119" t="s">
        <v>81</v>
      </c>
      <c r="R119" t="s">
        <v>81</v>
      </c>
      <c r="S119" t="s">
        <v>74</v>
      </c>
      <c r="T119" t="s">
        <v>82</v>
      </c>
      <c r="U119" t="s">
        <v>97</v>
      </c>
      <c r="V119" t="s">
        <v>98</v>
      </c>
      <c r="W119" t="s">
        <v>32</v>
      </c>
      <c r="X119" t="s">
        <v>98</v>
      </c>
      <c r="Y119" t="s">
        <v>99</v>
      </c>
    </row>
    <row r="120" spans="1:25" ht="14.25" customHeight="1" x14ac:dyDescent="0.35">
      <c r="A120" t="s">
        <v>233</v>
      </c>
      <c r="B120">
        <v>51</v>
      </c>
      <c r="C120" t="s">
        <v>63</v>
      </c>
      <c r="D120" t="s">
        <v>27</v>
      </c>
      <c r="E120" t="s">
        <v>78</v>
      </c>
      <c r="F120" t="s">
        <v>68</v>
      </c>
      <c r="G120" t="s">
        <v>87</v>
      </c>
      <c r="H120" t="s">
        <v>48</v>
      </c>
      <c r="I120" t="s">
        <v>32</v>
      </c>
      <c r="J120" t="s">
        <v>73</v>
      </c>
      <c r="K120" t="s">
        <v>34</v>
      </c>
      <c r="L120" t="s">
        <v>50</v>
      </c>
      <c r="M120">
        <v>3</v>
      </c>
      <c r="N120" t="s">
        <v>88</v>
      </c>
      <c r="O120" t="s">
        <v>89</v>
      </c>
      <c r="P120" t="s">
        <v>64</v>
      </c>
      <c r="Q120" t="s">
        <v>59</v>
      </c>
      <c r="R120" t="s">
        <v>40</v>
      </c>
      <c r="S120" t="s">
        <v>32</v>
      </c>
      <c r="T120">
        <v>5</v>
      </c>
      <c r="U120" t="s">
        <v>110</v>
      </c>
      <c r="V120" t="s">
        <v>114</v>
      </c>
      <c r="W120" t="s">
        <v>75</v>
      </c>
      <c r="X120" t="s">
        <v>114</v>
      </c>
      <c r="Y120" t="s">
        <v>135</v>
      </c>
    </row>
    <row r="121" spans="1:25" ht="14.25" customHeight="1" x14ac:dyDescent="0.35">
      <c r="A121" t="s">
        <v>234</v>
      </c>
      <c r="B121">
        <v>65</v>
      </c>
      <c r="C121" t="s">
        <v>63</v>
      </c>
      <c r="D121" t="s">
        <v>27</v>
      </c>
      <c r="E121" t="s">
        <v>33</v>
      </c>
      <c r="F121" t="s">
        <v>29</v>
      </c>
      <c r="G121" t="s">
        <v>87</v>
      </c>
      <c r="H121" t="s">
        <v>48</v>
      </c>
      <c r="I121" t="s">
        <v>74</v>
      </c>
      <c r="J121" t="s">
        <v>96</v>
      </c>
      <c r="K121" t="s">
        <v>80</v>
      </c>
      <c r="L121" t="s">
        <v>80</v>
      </c>
      <c r="M121">
        <v>0</v>
      </c>
      <c r="N121" t="s">
        <v>81</v>
      </c>
      <c r="O121" t="s">
        <v>81</v>
      </c>
      <c r="P121" t="s">
        <v>81</v>
      </c>
      <c r="Q121" t="s">
        <v>81</v>
      </c>
      <c r="R121" t="s">
        <v>81</v>
      </c>
      <c r="S121" t="s">
        <v>74</v>
      </c>
      <c r="T121" t="s">
        <v>82</v>
      </c>
      <c r="U121" t="s">
        <v>97</v>
      </c>
      <c r="V121" t="s">
        <v>42</v>
      </c>
      <c r="W121" t="s">
        <v>75</v>
      </c>
      <c r="X121" t="s">
        <v>42</v>
      </c>
      <c r="Y121" t="s">
        <v>99</v>
      </c>
    </row>
    <row r="122" spans="1:25" ht="14.25" customHeight="1" x14ac:dyDescent="0.35">
      <c r="A122" t="s">
        <v>235</v>
      </c>
      <c r="B122">
        <v>15</v>
      </c>
      <c r="C122" t="s">
        <v>26</v>
      </c>
      <c r="D122" t="s">
        <v>27</v>
      </c>
      <c r="E122" t="s">
        <v>28</v>
      </c>
      <c r="F122" t="s">
        <v>46</v>
      </c>
      <c r="G122" t="s">
        <v>72</v>
      </c>
      <c r="H122" t="s">
        <v>31</v>
      </c>
      <c r="I122" t="s">
        <v>32</v>
      </c>
      <c r="J122" t="s">
        <v>79</v>
      </c>
      <c r="K122" t="s">
        <v>34</v>
      </c>
      <c r="L122" t="s">
        <v>50</v>
      </c>
      <c r="M122">
        <v>5</v>
      </c>
      <c r="N122" t="s">
        <v>36</v>
      </c>
      <c r="O122" t="s">
        <v>37</v>
      </c>
      <c r="P122" t="s">
        <v>64</v>
      </c>
      <c r="Q122" t="s">
        <v>52</v>
      </c>
      <c r="R122" t="s">
        <v>53</v>
      </c>
      <c r="S122" t="s">
        <v>32</v>
      </c>
      <c r="T122">
        <v>3</v>
      </c>
      <c r="U122" t="s">
        <v>121</v>
      </c>
      <c r="V122" t="s">
        <v>42</v>
      </c>
      <c r="W122" t="s">
        <v>32</v>
      </c>
      <c r="X122" t="s">
        <v>42</v>
      </c>
      <c r="Y122" t="s">
        <v>122</v>
      </c>
    </row>
    <row r="123" spans="1:25" ht="14.25" customHeight="1" x14ac:dyDescent="0.35">
      <c r="A123" t="s">
        <v>236</v>
      </c>
      <c r="B123">
        <v>13</v>
      </c>
      <c r="C123" t="s">
        <v>26</v>
      </c>
      <c r="D123" t="s">
        <v>27</v>
      </c>
      <c r="E123" t="s">
        <v>28</v>
      </c>
      <c r="F123" t="s">
        <v>29</v>
      </c>
      <c r="G123" t="s">
        <v>30</v>
      </c>
      <c r="H123" t="s">
        <v>31</v>
      </c>
      <c r="I123" t="s">
        <v>32</v>
      </c>
      <c r="J123" t="s">
        <v>33</v>
      </c>
      <c r="K123" t="s">
        <v>34</v>
      </c>
      <c r="L123" t="s">
        <v>103</v>
      </c>
      <c r="M123">
        <v>5</v>
      </c>
      <c r="N123" t="s">
        <v>36</v>
      </c>
      <c r="O123" t="s">
        <v>37</v>
      </c>
      <c r="P123" t="s">
        <v>38</v>
      </c>
      <c r="Q123" t="s">
        <v>39</v>
      </c>
      <c r="R123" t="s">
        <v>70</v>
      </c>
      <c r="S123" t="s">
        <v>32</v>
      </c>
      <c r="T123">
        <v>5</v>
      </c>
      <c r="U123" t="s">
        <v>110</v>
      </c>
      <c r="V123" t="s">
        <v>114</v>
      </c>
      <c r="W123" t="s">
        <v>32</v>
      </c>
      <c r="X123" t="s">
        <v>114</v>
      </c>
      <c r="Y123" t="s">
        <v>135</v>
      </c>
    </row>
    <row r="124" spans="1:25" ht="14.25" customHeight="1" x14ac:dyDescent="0.35">
      <c r="A124" t="s">
        <v>237</v>
      </c>
      <c r="B124">
        <v>18</v>
      </c>
      <c r="C124" t="s">
        <v>26</v>
      </c>
      <c r="D124" t="s">
        <v>27</v>
      </c>
      <c r="E124" t="s">
        <v>55</v>
      </c>
      <c r="F124" t="s">
        <v>68</v>
      </c>
      <c r="G124" t="s">
        <v>47</v>
      </c>
      <c r="H124" t="s">
        <v>107</v>
      </c>
      <c r="I124" t="s">
        <v>32</v>
      </c>
      <c r="J124" t="s">
        <v>79</v>
      </c>
      <c r="K124" t="s">
        <v>34</v>
      </c>
      <c r="L124" t="s">
        <v>50</v>
      </c>
      <c r="M124">
        <v>4</v>
      </c>
      <c r="N124" t="s">
        <v>36</v>
      </c>
      <c r="O124" t="s">
        <v>37</v>
      </c>
      <c r="P124" t="s">
        <v>51</v>
      </c>
      <c r="Q124" t="s">
        <v>94</v>
      </c>
      <c r="R124" t="s">
        <v>53</v>
      </c>
      <c r="S124" t="s">
        <v>32</v>
      </c>
      <c r="T124">
        <v>1</v>
      </c>
      <c r="U124" t="s">
        <v>121</v>
      </c>
      <c r="V124" t="s">
        <v>42</v>
      </c>
      <c r="W124" t="s">
        <v>32</v>
      </c>
      <c r="X124" t="s">
        <v>42</v>
      </c>
      <c r="Y124" t="s">
        <v>122</v>
      </c>
    </row>
    <row r="125" spans="1:25" ht="14.25" customHeight="1" x14ac:dyDescent="0.35">
      <c r="A125" t="s">
        <v>238</v>
      </c>
      <c r="B125">
        <v>36</v>
      </c>
      <c r="C125" t="s">
        <v>67</v>
      </c>
      <c r="D125" t="s">
        <v>27</v>
      </c>
      <c r="E125" t="s">
        <v>28</v>
      </c>
      <c r="F125" t="s">
        <v>68</v>
      </c>
      <c r="G125" t="s">
        <v>47</v>
      </c>
      <c r="H125" t="s">
        <v>48</v>
      </c>
      <c r="I125" t="s">
        <v>74</v>
      </c>
      <c r="J125" t="s">
        <v>96</v>
      </c>
      <c r="K125" t="s">
        <v>80</v>
      </c>
      <c r="L125" t="s">
        <v>80</v>
      </c>
      <c r="M125">
        <v>0</v>
      </c>
      <c r="N125" t="s">
        <v>81</v>
      </c>
      <c r="O125" t="s">
        <v>81</v>
      </c>
      <c r="P125" t="s">
        <v>81</v>
      </c>
      <c r="Q125" t="s">
        <v>81</v>
      </c>
      <c r="R125" t="s">
        <v>81</v>
      </c>
      <c r="S125" t="s">
        <v>74</v>
      </c>
      <c r="T125" t="s">
        <v>82</v>
      </c>
      <c r="U125" t="s">
        <v>97</v>
      </c>
      <c r="V125" t="s">
        <v>98</v>
      </c>
      <c r="W125" t="s">
        <v>74</v>
      </c>
      <c r="X125" t="s">
        <v>98</v>
      </c>
      <c r="Y125" t="s">
        <v>99</v>
      </c>
    </row>
    <row r="126" spans="1:25" ht="14.25" customHeight="1" x14ac:dyDescent="0.35">
      <c r="A126" t="s">
        <v>239</v>
      </c>
      <c r="B126">
        <v>27</v>
      </c>
      <c r="C126" t="s">
        <v>106</v>
      </c>
      <c r="D126" t="s">
        <v>27</v>
      </c>
      <c r="E126" t="s">
        <v>28</v>
      </c>
      <c r="F126" t="s">
        <v>29</v>
      </c>
      <c r="G126" t="s">
        <v>30</v>
      </c>
      <c r="H126" t="s">
        <v>107</v>
      </c>
      <c r="I126" t="s">
        <v>32</v>
      </c>
      <c r="J126" t="s">
        <v>49</v>
      </c>
      <c r="K126" t="s">
        <v>34</v>
      </c>
      <c r="L126" t="s">
        <v>103</v>
      </c>
      <c r="M126">
        <v>2</v>
      </c>
      <c r="N126" t="s">
        <v>88</v>
      </c>
      <c r="O126" t="s">
        <v>104</v>
      </c>
      <c r="P126" t="s">
        <v>64</v>
      </c>
      <c r="Q126" t="s">
        <v>52</v>
      </c>
      <c r="R126" t="s">
        <v>116</v>
      </c>
      <c r="S126" t="s">
        <v>32</v>
      </c>
      <c r="T126">
        <v>3</v>
      </c>
      <c r="U126" t="s">
        <v>121</v>
      </c>
      <c r="V126" t="s">
        <v>42</v>
      </c>
      <c r="W126" t="s">
        <v>32</v>
      </c>
      <c r="X126" t="s">
        <v>42</v>
      </c>
      <c r="Y126" t="s">
        <v>122</v>
      </c>
    </row>
    <row r="127" spans="1:25" ht="14.25" customHeight="1" x14ac:dyDescent="0.35">
      <c r="A127" t="s">
        <v>240</v>
      </c>
      <c r="B127">
        <v>42</v>
      </c>
      <c r="C127" t="s">
        <v>45</v>
      </c>
      <c r="D127" t="s">
        <v>27</v>
      </c>
      <c r="E127" t="s">
        <v>118</v>
      </c>
      <c r="F127" t="s">
        <v>29</v>
      </c>
      <c r="G127" t="s">
        <v>47</v>
      </c>
      <c r="H127" t="s">
        <v>119</v>
      </c>
      <c r="I127" t="s">
        <v>32</v>
      </c>
      <c r="J127" t="s">
        <v>79</v>
      </c>
      <c r="K127" t="s">
        <v>34</v>
      </c>
      <c r="L127" t="s">
        <v>103</v>
      </c>
      <c r="M127">
        <v>3</v>
      </c>
      <c r="N127" t="s">
        <v>88</v>
      </c>
      <c r="O127" t="s">
        <v>104</v>
      </c>
      <c r="P127" t="s">
        <v>64</v>
      </c>
      <c r="Q127" t="s">
        <v>65</v>
      </c>
      <c r="R127" t="s">
        <v>116</v>
      </c>
      <c r="S127" t="s">
        <v>74</v>
      </c>
      <c r="T127">
        <v>3</v>
      </c>
      <c r="U127" t="s">
        <v>90</v>
      </c>
      <c r="V127" t="s">
        <v>42</v>
      </c>
      <c r="W127" t="s">
        <v>75</v>
      </c>
      <c r="X127" t="s">
        <v>42</v>
      </c>
      <c r="Y127" t="s">
        <v>76</v>
      </c>
    </row>
    <row r="128" spans="1:25" ht="14.25" customHeight="1" x14ac:dyDescent="0.35">
      <c r="A128" t="s">
        <v>241</v>
      </c>
      <c r="B128">
        <v>29</v>
      </c>
      <c r="C128" t="s">
        <v>106</v>
      </c>
      <c r="D128" t="s">
        <v>27</v>
      </c>
      <c r="E128" t="s">
        <v>28</v>
      </c>
      <c r="F128" t="s">
        <v>29</v>
      </c>
      <c r="G128" t="s">
        <v>87</v>
      </c>
      <c r="H128" t="s">
        <v>107</v>
      </c>
      <c r="I128" t="s">
        <v>32</v>
      </c>
      <c r="J128" t="s">
        <v>79</v>
      </c>
      <c r="K128" t="s">
        <v>80</v>
      </c>
      <c r="L128" t="s">
        <v>80</v>
      </c>
      <c r="M128">
        <v>0</v>
      </c>
      <c r="N128" t="s">
        <v>81</v>
      </c>
      <c r="O128" t="s">
        <v>81</v>
      </c>
      <c r="P128" t="s">
        <v>81</v>
      </c>
      <c r="Q128" t="s">
        <v>81</v>
      </c>
      <c r="R128" t="s">
        <v>81</v>
      </c>
      <c r="S128" t="s">
        <v>74</v>
      </c>
      <c r="T128" t="s">
        <v>82</v>
      </c>
      <c r="U128" t="s">
        <v>110</v>
      </c>
      <c r="V128" t="s">
        <v>132</v>
      </c>
      <c r="W128" t="s">
        <v>74</v>
      </c>
      <c r="X128" t="s">
        <v>132</v>
      </c>
      <c r="Y128" t="s">
        <v>111</v>
      </c>
    </row>
    <row r="129" spans="1:25" ht="14.25" customHeight="1" x14ac:dyDescent="0.35">
      <c r="A129" t="s">
        <v>242</v>
      </c>
      <c r="B129">
        <v>38</v>
      </c>
      <c r="C129" t="s">
        <v>67</v>
      </c>
      <c r="D129" t="s">
        <v>27</v>
      </c>
      <c r="E129" t="s">
        <v>118</v>
      </c>
      <c r="F129" t="s">
        <v>29</v>
      </c>
      <c r="G129" t="s">
        <v>72</v>
      </c>
      <c r="H129" t="s">
        <v>48</v>
      </c>
      <c r="I129" t="s">
        <v>32</v>
      </c>
      <c r="J129" t="s">
        <v>73</v>
      </c>
      <c r="K129" t="s">
        <v>34</v>
      </c>
      <c r="L129" t="s">
        <v>50</v>
      </c>
      <c r="M129">
        <v>4</v>
      </c>
      <c r="N129" t="s">
        <v>36</v>
      </c>
      <c r="O129" t="s">
        <v>37</v>
      </c>
      <c r="P129" t="s">
        <v>64</v>
      </c>
      <c r="Q129" t="s">
        <v>59</v>
      </c>
      <c r="R129" t="s">
        <v>70</v>
      </c>
      <c r="S129" t="s">
        <v>32</v>
      </c>
      <c r="T129">
        <v>4</v>
      </c>
      <c r="U129" t="s">
        <v>60</v>
      </c>
      <c r="V129" t="s">
        <v>98</v>
      </c>
      <c r="W129" t="s">
        <v>75</v>
      </c>
      <c r="X129" t="s">
        <v>98</v>
      </c>
      <c r="Y129" t="s">
        <v>61</v>
      </c>
    </row>
    <row r="130" spans="1:25" ht="14.25" customHeight="1" x14ac:dyDescent="0.35">
      <c r="A130" t="s">
        <v>243</v>
      </c>
      <c r="B130">
        <v>19</v>
      </c>
      <c r="C130" t="s">
        <v>26</v>
      </c>
      <c r="D130" t="s">
        <v>27</v>
      </c>
      <c r="E130" t="s">
        <v>55</v>
      </c>
      <c r="F130" t="s">
        <v>29</v>
      </c>
      <c r="G130" t="s">
        <v>87</v>
      </c>
      <c r="H130" t="s">
        <v>107</v>
      </c>
      <c r="I130" t="s">
        <v>32</v>
      </c>
      <c r="J130" t="s">
        <v>92</v>
      </c>
      <c r="K130" t="s">
        <v>34</v>
      </c>
      <c r="L130" t="s">
        <v>50</v>
      </c>
      <c r="M130">
        <v>5</v>
      </c>
      <c r="N130" t="s">
        <v>93</v>
      </c>
      <c r="O130" t="s">
        <v>142</v>
      </c>
      <c r="P130" t="s">
        <v>127</v>
      </c>
      <c r="Q130" t="s">
        <v>65</v>
      </c>
      <c r="R130" t="s">
        <v>53</v>
      </c>
      <c r="S130" t="s">
        <v>74</v>
      </c>
      <c r="T130">
        <v>3</v>
      </c>
      <c r="U130" t="s">
        <v>41</v>
      </c>
      <c r="V130" t="s">
        <v>42</v>
      </c>
      <c r="W130" t="s">
        <v>74</v>
      </c>
      <c r="X130" t="s">
        <v>42</v>
      </c>
      <c r="Y130" t="s">
        <v>76</v>
      </c>
    </row>
    <row r="131" spans="1:25" ht="14.25" customHeight="1" x14ac:dyDescent="0.35">
      <c r="A131" t="s">
        <v>244</v>
      </c>
      <c r="B131">
        <v>29</v>
      </c>
      <c r="C131" t="s">
        <v>106</v>
      </c>
      <c r="D131" t="s">
        <v>27</v>
      </c>
      <c r="E131" t="s">
        <v>78</v>
      </c>
      <c r="F131" t="s">
        <v>29</v>
      </c>
      <c r="G131" t="s">
        <v>87</v>
      </c>
      <c r="H131" t="s">
        <v>107</v>
      </c>
      <c r="I131" t="s">
        <v>32</v>
      </c>
      <c r="J131" t="s">
        <v>92</v>
      </c>
      <c r="K131" t="s">
        <v>34</v>
      </c>
      <c r="L131" t="s">
        <v>35</v>
      </c>
      <c r="M131">
        <v>4</v>
      </c>
      <c r="N131" t="s">
        <v>88</v>
      </c>
      <c r="O131" t="s">
        <v>104</v>
      </c>
      <c r="P131" t="s">
        <v>64</v>
      </c>
      <c r="Q131" t="s">
        <v>52</v>
      </c>
      <c r="R131" t="s">
        <v>40</v>
      </c>
      <c r="S131" t="s">
        <v>32</v>
      </c>
      <c r="T131">
        <v>4</v>
      </c>
      <c r="U131" t="s">
        <v>90</v>
      </c>
      <c r="V131" t="s">
        <v>42</v>
      </c>
      <c r="W131" t="s">
        <v>75</v>
      </c>
      <c r="X131" t="s">
        <v>42</v>
      </c>
      <c r="Y131" t="s">
        <v>108</v>
      </c>
    </row>
    <row r="132" spans="1:25" ht="14.25" customHeight="1" x14ac:dyDescent="0.35">
      <c r="A132" t="s">
        <v>245</v>
      </c>
      <c r="B132">
        <v>35</v>
      </c>
      <c r="C132" t="s">
        <v>67</v>
      </c>
      <c r="D132" t="s">
        <v>27</v>
      </c>
      <c r="E132" t="s">
        <v>78</v>
      </c>
      <c r="F132" t="s">
        <v>56</v>
      </c>
      <c r="G132" t="s">
        <v>30</v>
      </c>
      <c r="H132" t="s">
        <v>48</v>
      </c>
      <c r="I132" t="s">
        <v>32</v>
      </c>
      <c r="J132" t="s">
        <v>79</v>
      </c>
      <c r="K132" t="s">
        <v>34</v>
      </c>
      <c r="L132" t="s">
        <v>50</v>
      </c>
      <c r="M132">
        <v>2</v>
      </c>
      <c r="N132" t="s">
        <v>93</v>
      </c>
      <c r="O132" t="s">
        <v>142</v>
      </c>
      <c r="P132" t="s">
        <v>51</v>
      </c>
      <c r="Q132" t="s">
        <v>65</v>
      </c>
      <c r="R132" t="s">
        <v>101</v>
      </c>
      <c r="S132" t="s">
        <v>32</v>
      </c>
      <c r="T132">
        <v>3</v>
      </c>
      <c r="U132" t="s">
        <v>60</v>
      </c>
      <c r="V132" t="s">
        <v>84</v>
      </c>
      <c r="W132" t="s">
        <v>74</v>
      </c>
      <c r="X132" t="s">
        <v>84</v>
      </c>
      <c r="Y132" t="s">
        <v>61</v>
      </c>
    </row>
    <row r="133" spans="1:25" ht="14.25" customHeight="1" x14ac:dyDescent="0.35">
      <c r="A133" t="s">
        <v>246</v>
      </c>
      <c r="B133">
        <v>59</v>
      </c>
      <c r="C133" t="s">
        <v>63</v>
      </c>
      <c r="D133" t="s">
        <v>27</v>
      </c>
      <c r="E133" t="s">
        <v>78</v>
      </c>
      <c r="F133" t="s">
        <v>29</v>
      </c>
      <c r="G133" t="s">
        <v>87</v>
      </c>
      <c r="H133" t="s">
        <v>48</v>
      </c>
      <c r="I133" t="s">
        <v>32</v>
      </c>
      <c r="J133" t="s">
        <v>33</v>
      </c>
      <c r="K133" t="s">
        <v>34</v>
      </c>
      <c r="L133" t="s">
        <v>50</v>
      </c>
      <c r="M133">
        <v>3</v>
      </c>
      <c r="N133" t="s">
        <v>88</v>
      </c>
      <c r="O133" t="s">
        <v>89</v>
      </c>
      <c r="P133" t="s">
        <v>51</v>
      </c>
      <c r="Q133" t="s">
        <v>65</v>
      </c>
      <c r="R133" t="s">
        <v>53</v>
      </c>
      <c r="S133" t="s">
        <v>32</v>
      </c>
      <c r="T133">
        <v>1</v>
      </c>
      <c r="U133" t="s">
        <v>168</v>
      </c>
      <c r="V133" t="s">
        <v>132</v>
      </c>
      <c r="W133" t="s">
        <v>74</v>
      </c>
      <c r="X133" t="s">
        <v>132</v>
      </c>
      <c r="Y133" t="s">
        <v>169</v>
      </c>
    </row>
    <row r="134" spans="1:25" ht="14.25" customHeight="1" x14ac:dyDescent="0.35">
      <c r="A134" t="s">
        <v>247</v>
      </c>
      <c r="B134">
        <v>14</v>
      </c>
      <c r="C134" t="s">
        <v>26</v>
      </c>
      <c r="D134" t="s">
        <v>27</v>
      </c>
      <c r="E134" t="s">
        <v>55</v>
      </c>
      <c r="F134" t="s">
        <v>29</v>
      </c>
      <c r="G134" t="s">
        <v>87</v>
      </c>
      <c r="H134" t="s">
        <v>31</v>
      </c>
      <c r="I134" t="s">
        <v>32</v>
      </c>
      <c r="J134" t="s">
        <v>79</v>
      </c>
      <c r="K134" t="s">
        <v>80</v>
      </c>
      <c r="L134" t="s">
        <v>80</v>
      </c>
      <c r="M134">
        <v>0</v>
      </c>
      <c r="N134" t="s">
        <v>81</v>
      </c>
      <c r="O134" t="s">
        <v>81</v>
      </c>
      <c r="P134" t="s">
        <v>81</v>
      </c>
      <c r="Q134" t="s">
        <v>81</v>
      </c>
      <c r="R134" t="s">
        <v>81</v>
      </c>
      <c r="S134" t="s">
        <v>74</v>
      </c>
      <c r="T134" t="s">
        <v>82</v>
      </c>
      <c r="U134" t="s">
        <v>110</v>
      </c>
      <c r="V134" t="s">
        <v>42</v>
      </c>
      <c r="W134" t="s">
        <v>32</v>
      </c>
      <c r="X134" t="s">
        <v>42</v>
      </c>
      <c r="Y134" t="s">
        <v>111</v>
      </c>
    </row>
    <row r="135" spans="1:25" ht="14.25" customHeight="1" x14ac:dyDescent="0.35">
      <c r="A135" t="s">
        <v>248</v>
      </c>
      <c r="B135">
        <v>42</v>
      </c>
      <c r="C135" t="s">
        <v>45</v>
      </c>
      <c r="D135" t="s">
        <v>27</v>
      </c>
      <c r="E135" t="s">
        <v>28</v>
      </c>
      <c r="F135" t="s">
        <v>56</v>
      </c>
      <c r="G135" t="s">
        <v>87</v>
      </c>
      <c r="H135" t="s">
        <v>48</v>
      </c>
      <c r="I135" t="s">
        <v>32</v>
      </c>
      <c r="J135" t="s">
        <v>92</v>
      </c>
      <c r="K135" t="s">
        <v>80</v>
      </c>
      <c r="L135" t="s">
        <v>80</v>
      </c>
      <c r="M135">
        <v>0</v>
      </c>
      <c r="N135" t="s">
        <v>81</v>
      </c>
      <c r="O135" t="s">
        <v>81</v>
      </c>
      <c r="P135" t="s">
        <v>81</v>
      </c>
      <c r="Q135" t="s">
        <v>81</v>
      </c>
      <c r="R135" t="s">
        <v>81</v>
      </c>
      <c r="S135" t="s">
        <v>74</v>
      </c>
      <c r="T135" t="s">
        <v>82</v>
      </c>
      <c r="U135" t="s">
        <v>83</v>
      </c>
      <c r="V135" t="s">
        <v>42</v>
      </c>
      <c r="W135" t="s">
        <v>32</v>
      </c>
      <c r="X135" t="s">
        <v>42</v>
      </c>
      <c r="Y135" t="s">
        <v>85</v>
      </c>
    </row>
    <row r="136" spans="1:25" ht="14.25" customHeight="1" x14ac:dyDescent="0.35">
      <c r="A136" t="s">
        <v>249</v>
      </c>
      <c r="B136">
        <v>35</v>
      </c>
      <c r="C136" t="s">
        <v>67</v>
      </c>
      <c r="D136" t="s">
        <v>27</v>
      </c>
      <c r="E136" t="s">
        <v>118</v>
      </c>
      <c r="F136" t="s">
        <v>46</v>
      </c>
      <c r="G136" t="s">
        <v>72</v>
      </c>
      <c r="H136" t="s">
        <v>48</v>
      </c>
      <c r="I136" t="s">
        <v>32</v>
      </c>
      <c r="J136" t="s">
        <v>33</v>
      </c>
      <c r="K136" t="s">
        <v>80</v>
      </c>
      <c r="L136" t="s">
        <v>80</v>
      </c>
      <c r="M136">
        <v>0</v>
      </c>
      <c r="N136" t="s">
        <v>81</v>
      </c>
      <c r="O136" t="s">
        <v>81</v>
      </c>
      <c r="P136" t="s">
        <v>81</v>
      </c>
      <c r="Q136" t="s">
        <v>81</v>
      </c>
      <c r="R136" t="s">
        <v>81</v>
      </c>
      <c r="S136" t="s">
        <v>74</v>
      </c>
      <c r="T136" t="s">
        <v>82</v>
      </c>
      <c r="U136" t="s">
        <v>147</v>
      </c>
      <c r="V136" t="s">
        <v>132</v>
      </c>
      <c r="W136" t="s">
        <v>75</v>
      </c>
      <c r="X136" t="s">
        <v>132</v>
      </c>
      <c r="Y136" t="s">
        <v>148</v>
      </c>
    </row>
    <row r="137" spans="1:25" ht="14.25" customHeight="1" x14ac:dyDescent="0.35">
      <c r="A137" t="s">
        <v>250</v>
      </c>
      <c r="B137">
        <v>15</v>
      </c>
      <c r="C137" t="s">
        <v>26</v>
      </c>
      <c r="D137" t="s">
        <v>27</v>
      </c>
      <c r="E137" t="s">
        <v>55</v>
      </c>
      <c r="F137" t="s">
        <v>68</v>
      </c>
      <c r="G137" t="s">
        <v>47</v>
      </c>
      <c r="H137" t="s">
        <v>31</v>
      </c>
      <c r="I137" t="s">
        <v>74</v>
      </c>
      <c r="J137" t="s">
        <v>96</v>
      </c>
      <c r="K137" t="s">
        <v>80</v>
      </c>
      <c r="L137" t="s">
        <v>80</v>
      </c>
      <c r="M137">
        <v>0</v>
      </c>
      <c r="N137" t="s">
        <v>81</v>
      </c>
      <c r="O137" t="s">
        <v>81</v>
      </c>
      <c r="P137" t="s">
        <v>81</v>
      </c>
      <c r="Q137" t="s">
        <v>81</v>
      </c>
      <c r="R137" t="s">
        <v>81</v>
      </c>
      <c r="S137" t="s">
        <v>74</v>
      </c>
      <c r="T137" t="s">
        <v>82</v>
      </c>
      <c r="U137" t="s">
        <v>97</v>
      </c>
      <c r="V137" t="s">
        <v>42</v>
      </c>
      <c r="W137" t="s">
        <v>32</v>
      </c>
      <c r="X137" t="s">
        <v>42</v>
      </c>
      <c r="Y137" t="s">
        <v>99</v>
      </c>
    </row>
    <row r="138" spans="1:25" ht="14.25" customHeight="1" x14ac:dyDescent="0.35">
      <c r="A138" t="s">
        <v>251</v>
      </c>
      <c r="B138">
        <v>18</v>
      </c>
      <c r="C138" t="s">
        <v>26</v>
      </c>
      <c r="D138" t="s">
        <v>27</v>
      </c>
      <c r="E138" t="s">
        <v>28</v>
      </c>
      <c r="F138" t="s">
        <v>68</v>
      </c>
      <c r="G138" t="s">
        <v>30</v>
      </c>
      <c r="H138" t="s">
        <v>107</v>
      </c>
      <c r="I138" t="s">
        <v>32</v>
      </c>
      <c r="J138" t="s">
        <v>57</v>
      </c>
      <c r="K138" t="s">
        <v>34</v>
      </c>
      <c r="L138" t="s">
        <v>50</v>
      </c>
      <c r="M138">
        <v>5</v>
      </c>
      <c r="N138" t="s">
        <v>88</v>
      </c>
      <c r="O138" t="s">
        <v>104</v>
      </c>
      <c r="P138" t="s">
        <v>64</v>
      </c>
      <c r="Q138" t="s">
        <v>52</v>
      </c>
      <c r="R138" t="s">
        <v>40</v>
      </c>
      <c r="S138" t="s">
        <v>32</v>
      </c>
      <c r="T138">
        <v>4</v>
      </c>
      <c r="U138" t="s">
        <v>168</v>
      </c>
      <c r="V138" t="s">
        <v>114</v>
      </c>
      <c r="W138" t="s">
        <v>75</v>
      </c>
      <c r="X138" t="s">
        <v>114</v>
      </c>
      <c r="Y138" t="s">
        <v>169</v>
      </c>
    </row>
    <row r="139" spans="1:25" ht="14.25" customHeight="1" x14ac:dyDescent="0.35">
      <c r="A139" t="s">
        <v>252</v>
      </c>
      <c r="B139">
        <v>23</v>
      </c>
      <c r="C139" t="s">
        <v>106</v>
      </c>
      <c r="D139" t="s">
        <v>27</v>
      </c>
      <c r="E139" t="s">
        <v>28</v>
      </c>
      <c r="F139" t="s">
        <v>29</v>
      </c>
      <c r="G139" t="s">
        <v>30</v>
      </c>
      <c r="H139" t="s">
        <v>107</v>
      </c>
      <c r="I139" t="s">
        <v>32</v>
      </c>
      <c r="J139" t="s">
        <v>49</v>
      </c>
      <c r="K139" t="s">
        <v>34</v>
      </c>
      <c r="L139" t="s">
        <v>103</v>
      </c>
      <c r="M139">
        <v>2</v>
      </c>
      <c r="N139" t="s">
        <v>88</v>
      </c>
      <c r="O139" t="s">
        <v>89</v>
      </c>
      <c r="P139" t="s">
        <v>51</v>
      </c>
      <c r="Q139" t="s">
        <v>65</v>
      </c>
      <c r="R139" t="s">
        <v>116</v>
      </c>
      <c r="S139" t="s">
        <v>74</v>
      </c>
      <c r="T139">
        <v>2</v>
      </c>
      <c r="U139" t="s">
        <v>110</v>
      </c>
      <c r="V139" t="s">
        <v>132</v>
      </c>
      <c r="W139" t="s">
        <v>74</v>
      </c>
      <c r="X139" t="s">
        <v>132</v>
      </c>
      <c r="Y139" t="s">
        <v>76</v>
      </c>
    </row>
    <row r="140" spans="1:25" ht="14.25" customHeight="1" x14ac:dyDescent="0.35">
      <c r="A140" t="s">
        <v>253</v>
      </c>
      <c r="B140">
        <v>49</v>
      </c>
      <c r="C140" t="s">
        <v>45</v>
      </c>
      <c r="D140" t="s">
        <v>27</v>
      </c>
      <c r="E140" t="s">
        <v>33</v>
      </c>
      <c r="F140" t="s">
        <v>29</v>
      </c>
      <c r="G140" t="s">
        <v>87</v>
      </c>
      <c r="H140" t="s">
        <v>48</v>
      </c>
      <c r="I140" t="s">
        <v>32</v>
      </c>
      <c r="J140" t="s">
        <v>79</v>
      </c>
      <c r="K140" t="s">
        <v>34</v>
      </c>
      <c r="L140" t="s">
        <v>103</v>
      </c>
      <c r="M140">
        <v>1</v>
      </c>
      <c r="N140" t="s">
        <v>93</v>
      </c>
      <c r="O140" t="s">
        <v>142</v>
      </c>
      <c r="P140" t="s">
        <v>38</v>
      </c>
      <c r="Q140" t="s">
        <v>94</v>
      </c>
      <c r="R140" t="s">
        <v>101</v>
      </c>
      <c r="S140" t="s">
        <v>74</v>
      </c>
      <c r="T140">
        <v>1</v>
      </c>
      <c r="U140" t="s">
        <v>41</v>
      </c>
      <c r="V140" t="s">
        <v>42</v>
      </c>
      <c r="W140" t="s">
        <v>74</v>
      </c>
      <c r="X140" t="s">
        <v>42</v>
      </c>
      <c r="Y140" t="s">
        <v>76</v>
      </c>
    </row>
    <row r="141" spans="1:25" ht="14.25" customHeight="1" x14ac:dyDescent="0.35">
      <c r="A141" t="s">
        <v>254</v>
      </c>
      <c r="B141">
        <v>18</v>
      </c>
      <c r="C141" t="s">
        <v>26</v>
      </c>
      <c r="D141" t="s">
        <v>27</v>
      </c>
      <c r="E141" t="s">
        <v>55</v>
      </c>
      <c r="F141" t="s">
        <v>68</v>
      </c>
      <c r="G141" t="s">
        <v>87</v>
      </c>
      <c r="H141" t="s">
        <v>107</v>
      </c>
      <c r="I141" t="s">
        <v>32</v>
      </c>
      <c r="J141" t="s">
        <v>92</v>
      </c>
      <c r="K141" t="s">
        <v>80</v>
      </c>
      <c r="L141" t="s">
        <v>80</v>
      </c>
      <c r="M141">
        <v>0</v>
      </c>
      <c r="N141" t="s">
        <v>81</v>
      </c>
      <c r="O141" t="s">
        <v>81</v>
      </c>
      <c r="P141" t="s">
        <v>81</v>
      </c>
      <c r="Q141" t="s">
        <v>81</v>
      </c>
      <c r="R141" t="s">
        <v>81</v>
      </c>
      <c r="S141" t="s">
        <v>74</v>
      </c>
      <c r="T141" t="s">
        <v>82</v>
      </c>
      <c r="U141" t="s">
        <v>147</v>
      </c>
      <c r="V141" t="s">
        <v>132</v>
      </c>
      <c r="W141" t="s">
        <v>32</v>
      </c>
      <c r="X141" t="s">
        <v>132</v>
      </c>
      <c r="Y141" t="s">
        <v>148</v>
      </c>
    </row>
    <row r="142" spans="1:25" ht="14.25" customHeight="1" x14ac:dyDescent="0.35">
      <c r="A142" t="s">
        <v>255</v>
      </c>
      <c r="B142">
        <v>48</v>
      </c>
      <c r="C142" t="s">
        <v>45</v>
      </c>
      <c r="D142" t="s">
        <v>27</v>
      </c>
      <c r="E142" t="s">
        <v>78</v>
      </c>
      <c r="F142" t="s">
        <v>46</v>
      </c>
      <c r="G142" t="s">
        <v>72</v>
      </c>
      <c r="H142" t="s">
        <v>48</v>
      </c>
      <c r="I142" t="s">
        <v>32</v>
      </c>
      <c r="J142" t="s">
        <v>69</v>
      </c>
      <c r="K142" t="s">
        <v>34</v>
      </c>
      <c r="L142" t="s">
        <v>50</v>
      </c>
      <c r="M142">
        <v>3</v>
      </c>
      <c r="N142" t="s">
        <v>36</v>
      </c>
      <c r="O142" t="s">
        <v>37</v>
      </c>
      <c r="P142" t="s">
        <v>58</v>
      </c>
      <c r="Q142" t="s">
        <v>39</v>
      </c>
      <c r="R142" t="s">
        <v>40</v>
      </c>
      <c r="S142" t="s">
        <v>32</v>
      </c>
      <c r="T142">
        <v>5</v>
      </c>
      <c r="U142" t="s">
        <v>168</v>
      </c>
      <c r="V142" t="s">
        <v>84</v>
      </c>
      <c r="W142" t="s">
        <v>32</v>
      </c>
      <c r="X142" t="s">
        <v>84</v>
      </c>
      <c r="Y142" t="s">
        <v>169</v>
      </c>
    </row>
    <row r="143" spans="1:25" ht="14.25" customHeight="1" x14ac:dyDescent="0.35">
      <c r="A143" t="s">
        <v>256</v>
      </c>
      <c r="B143">
        <v>15</v>
      </c>
      <c r="C143" t="s">
        <v>26</v>
      </c>
      <c r="D143" t="s">
        <v>27</v>
      </c>
      <c r="E143" t="s">
        <v>55</v>
      </c>
      <c r="F143" t="s">
        <v>56</v>
      </c>
      <c r="G143" t="s">
        <v>30</v>
      </c>
      <c r="H143" t="s">
        <v>31</v>
      </c>
      <c r="I143" t="s">
        <v>32</v>
      </c>
      <c r="J143" t="s">
        <v>79</v>
      </c>
      <c r="K143" t="s">
        <v>34</v>
      </c>
      <c r="L143" t="s">
        <v>35</v>
      </c>
      <c r="M143">
        <v>2</v>
      </c>
      <c r="N143" t="s">
        <v>93</v>
      </c>
      <c r="O143" t="s">
        <v>142</v>
      </c>
      <c r="P143" t="s">
        <v>127</v>
      </c>
      <c r="Q143" t="s">
        <v>94</v>
      </c>
      <c r="R143" t="s">
        <v>101</v>
      </c>
      <c r="S143" t="s">
        <v>32</v>
      </c>
      <c r="T143">
        <v>1</v>
      </c>
      <c r="U143" t="s">
        <v>60</v>
      </c>
      <c r="V143" t="s">
        <v>114</v>
      </c>
      <c r="W143" t="s">
        <v>74</v>
      </c>
      <c r="X143" t="s">
        <v>114</v>
      </c>
      <c r="Y143" t="s">
        <v>61</v>
      </c>
    </row>
    <row r="144" spans="1:25" ht="14.25" customHeight="1" x14ac:dyDescent="0.35">
      <c r="A144" t="s">
        <v>257</v>
      </c>
      <c r="B144">
        <v>16</v>
      </c>
      <c r="C144" t="s">
        <v>26</v>
      </c>
      <c r="D144" t="s">
        <v>27</v>
      </c>
      <c r="E144" t="s">
        <v>55</v>
      </c>
      <c r="F144" t="s">
        <v>29</v>
      </c>
      <c r="G144" t="s">
        <v>30</v>
      </c>
      <c r="H144" t="s">
        <v>31</v>
      </c>
      <c r="I144" t="s">
        <v>32</v>
      </c>
      <c r="J144" t="s">
        <v>73</v>
      </c>
      <c r="K144" t="s">
        <v>34</v>
      </c>
      <c r="L144" t="s">
        <v>50</v>
      </c>
      <c r="M144">
        <v>4</v>
      </c>
      <c r="N144" t="s">
        <v>36</v>
      </c>
      <c r="O144" t="s">
        <v>37</v>
      </c>
      <c r="P144" t="s">
        <v>58</v>
      </c>
      <c r="Q144" t="s">
        <v>59</v>
      </c>
      <c r="R144" t="s">
        <v>70</v>
      </c>
      <c r="S144" t="s">
        <v>32</v>
      </c>
      <c r="T144">
        <v>3</v>
      </c>
      <c r="U144" t="s">
        <v>60</v>
      </c>
      <c r="V144" t="s">
        <v>42</v>
      </c>
      <c r="W144" t="s">
        <v>32</v>
      </c>
      <c r="X144" t="s">
        <v>42</v>
      </c>
      <c r="Y144" t="s">
        <v>61</v>
      </c>
    </row>
    <row r="145" spans="1:25" ht="14.25" customHeight="1" x14ac:dyDescent="0.35">
      <c r="A145" t="s">
        <v>258</v>
      </c>
      <c r="B145">
        <v>40</v>
      </c>
      <c r="C145" t="s">
        <v>45</v>
      </c>
      <c r="D145" t="s">
        <v>27</v>
      </c>
      <c r="E145" t="s">
        <v>28</v>
      </c>
      <c r="F145" t="s">
        <v>29</v>
      </c>
      <c r="G145" t="s">
        <v>87</v>
      </c>
      <c r="H145" t="s">
        <v>48</v>
      </c>
      <c r="I145" t="s">
        <v>32</v>
      </c>
      <c r="J145" t="s">
        <v>49</v>
      </c>
      <c r="K145" t="s">
        <v>34</v>
      </c>
      <c r="L145" t="s">
        <v>103</v>
      </c>
      <c r="M145">
        <v>2</v>
      </c>
      <c r="N145" t="s">
        <v>93</v>
      </c>
      <c r="O145" t="s">
        <v>142</v>
      </c>
      <c r="P145" t="s">
        <v>127</v>
      </c>
      <c r="Q145" t="s">
        <v>65</v>
      </c>
      <c r="R145" t="s">
        <v>116</v>
      </c>
      <c r="S145" t="s">
        <v>32</v>
      </c>
      <c r="T145">
        <v>2</v>
      </c>
      <c r="U145" t="s">
        <v>60</v>
      </c>
      <c r="V145" t="s">
        <v>84</v>
      </c>
      <c r="W145" t="s">
        <v>74</v>
      </c>
      <c r="X145" t="s">
        <v>84</v>
      </c>
      <c r="Y145" t="s">
        <v>61</v>
      </c>
    </row>
    <row r="146" spans="1:25" ht="14.25" customHeight="1" x14ac:dyDescent="0.35">
      <c r="A146" t="s">
        <v>259</v>
      </c>
      <c r="B146">
        <v>34</v>
      </c>
      <c r="C146" t="s">
        <v>67</v>
      </c>
      <c r="D146" t="s">
        <v>27</v>
      </c>
      <c r="E146" t="s">
        <v>28</v>
      </c>
      <c r="F146" t="s">
        <v>46</v>
      </c>
      <c r="G146" t="s">
        <v>72</v>
      </c>
      <c r="H146" t="s">
        <v>48</v>
      </c>
      <c r="I146" t="s">
        <v>74</v>
      </c>
      <c r="J146" t="s">
        <v>96</v>
      </c>
      <c r="K146" t="s">
        <v>80</v>
      </c>
      <c r="L146" t="s">
        <v>80</v>
      </c>
      <c r="M146">
        <v>0</v>
      </c>
      <c r="N146" t="s">
        <v>81</v>
      </c>
      <c r="O146" t="s">
        <v>81</v>
      </c>
      <c r="P146" t="s">
        <v>81</v>
      </c>
      <c r="Q146" t="s">
        <v>81</v>
      </c>
      <c r="R146" t="s">
        <v>81</v>
      </c>
      <c r="S146" t="s">
        <v>74</v>
      </c>
      <c r="T146" t="s">
        <v>82</v>
      </c>
      <c r="U146" t="s">
        <v>97</v>
      </c>
      <c r="V146" t="s">
        <v>132</v>
      </c>
      <c r="W146" t="s">
        <v>32</v>
      </c>
      <c r="X146" t="s">
        <v>132</v>
      </c>
      <c r="Y146" t="s">
        <v>99</v>
      </c>
    </row>
    <row r="147" spans="1:25" ht="14.25" customHeight="1" x14ac:dyDescent="0.35">
      <c r="A147" t="s">
        <v>260</v>
      </c>
      <c r="B147">
        <v>27</v>
      </c>
      <c r="C147" t="s">
        <v>106</v>
      </c>
      <c r="D147" t="s">
        <v>27</v>
      </c>
      <c r="E147" t="s">
        <v>28</v>
      </c>
      <c r="F147" t="s">
        <v>29</v>
      </c>
      <c r="G147" t="s">
        <v>87</v>
      </c>
      <c r="H147" t="s">
        <v>107</v>
      </c>
      <c r="I147" t="s">
        <v>32</v>
      </c>
      <c r="J147" t="s">
        <v>33</v>
      </c>
      <c r="K147" t="s">
        <v>34</v>
      </c>
      <c r="L147" t="s">
        <v>50</v>
      </c>
      <c r="M147">
        <v>2</v>
      </c>
      <c r="N147" t="s">
        <v>88</v>
      </c>
      <c r="O147" t="s">
        <v>104</v>
      </c>
      <c r="P147" t="s">
        <v>64</v>
      </c>
      <c r="Q147" t="s">
        <v>65</v>
      </c>
      <c r="R147" t="s">
        <v>101</v>
      </c>
      <c r="S147" t="s">
        <v>74</v>
      </c>
      <c r="T147">
        <v>2</v>
      </c>
      <c r="U147" t="s">
        <v>90</v>
      </c>
      <c r="V147" t="s">
        <v>98</v>
      </c>
      <c r="W147" t="s">
        <v>75</v>
      </c>
      <c r="X147" t="s">
        <v>98</v>
      </c>
      <c r="Y147" t="s">
        <v>76</v>
      </c>
    </row>
    <row r="148" spans="1:25" ht="14.25" customHeight="1" x14ac:dyDescent="0.35">
      <c r="A148" t="s">
        <v>261</v>
      </c>
      <c r="B148">
        <v>15</v>
      </c>
      <c r="C148" t="s">
        <v>26</v>
      </c>
      <c r="D148" t="s">
        <v>27</v>
      </c>
      <c r="E148" t="s">
        <v>28</v>
      </c>
      <c r="F148" t="s">
        <v>29</v>
      </c>
      <c r="G148" t="s">
        <v>87</v>
      </c>
      <c r="H148" t="s">
        <v>31</v>
      </c>
      <c r="I148" t="s">
        <v>32</v>
      </c>
      <c r="J148" t="s">
        <v>69</v>
      </c>
      <c r="K148" t="s">
        <v>80</v>
      </c>
      <c r="L148" t="s">
        <v>80</v>
      </c>
      <c r="M148">
        <v>0</v>
      </c>
      <c r="N148" t="s">
        <v>81</v>
      </c>
      <c r="O148" t="s">
        <v>81</v>
      </c>
      <c r="P148" t="s">
        <v>81</v>
      </c>
      <c r="Q148" t="s">
        <v>81</v>
      </c>
      <c r="R148" t="s">
        <v>81</v>
      </c>
      <c r="S148" t="s">
        <v>74</v>
      </c>
      <c r="T148" t="s">
        <v>82</v>
      </c>
      <c r="U148" t="s">
        <v>147</v>
      </c>
      <c r="V148" t="s">
        <v>114</v>
      </c>
      <c r="W148" t="s">
        <v>75</v>
      </c>
      <c r="X148" t="s">
        <v>114</v>
      </c>
      <c r="Y148" t="s">
        <v>148</v>
      </c>
    </row>
    <row r="149" spans="1:25" ht="14.25" customHeight="1" x14ac:dyDescent="0.35">
      <c r="A149" t="s">
        <v>262</v>
      </c>
      <c r="B149">
        <v>38</v>
      </c>
      <c r="C149" t="s">
        <v>67</v>
      </c>
      <c r="D149" t="s">
        <v>27</v>
      </c>
      <c r="E149" t="s">
        <v>28</v>
      </c>
      <c r="F149" t="s">
        <v>181</v>
      </c>
      <c r="G149" t="s">
        <v>87</v>
      </c>
      <c r="H149" t="s">
        <v>48</v>
      </c>
      <c r="I149" t="s">
        <v>32</v>
      </c>
      <c r="J149" t="s">
        <v>49</v>
      </c>
      <c r="K149" t="s">
        <v>34</v>
      </c>
      <c r="L149" t="s">
        <v>103</v>
      </c>
      <c r="M149">
        <v>3</v>
      </c>
      <c r="N149" t="s">
        <v>93</v>
      </c>
      <c r="O149" t="s">
        <v>89</v>
      </c>
      <c r="P149" t="s">
        <v>127</v>
      </c>
      <c r="Q149" t="s">
        <v>94</v>
      </c>
      <c r="R149" t="s">
        <v>116</v>
      </c>
      <c r="S149" t="s">
        <v>32</v>
      </c>
      <c r="T149">
        <v>1</v>
      </c>
      <c r="U149" t="s">
        <v>168</v>
      </c>
      <c r="V149" t="s">
        <v>42</v>
      </c>
      <c r="W149" t="s">
        <v>74</v>
      </c>
      <c r="X149" t="s">
        <v>42</v>
      </c>
      <c r="Y149" t="s">
        <v>169</v>
      </c>
    </row>
    <row r="150" spans="1:25" ht="14.25" customHeight="1" x14ac:dyDescent="0.35">
      <c r="A150" t="s">
        <v>263</v>
      </c>
      <c r="B150">
        <v>59</v>
      </c>
      <c r="C150" t="s">
        <v>63</v>
      </c>
      <c r="D150" t="s">
        <v>27</v>
      </c>
      <c r="E150" t="s">
        <v>78</v>
      </c>
      <c r="F150" t="s">
        <v>46</v>
      </c>
      <c r="G150" t="s">
        <v>72</v>
      </c>
      <c r="H150" t="s">
        <v>48</v>
      </c>
      <c r="I150" t="s">
        <v>32</v>
      </c>
      <c r="J150" t="s">
        <v>69</v>
      </c>
      <c r="K150" t="s">
        <v>34</v>
      </c>
      <c r="L150" t="s">
        <v>50</v>
      </c>
      <c r="M150">
        <v>4</v>
      </c>
      <c r="N150" t="s">
        <v>36</v>
      </c>
      <c r="O150" t="s">
        <v>37</v>
      </c>
      <c r="P150" t="s">
        <v>58</v>
      </c>
      <c r="Q150" t="s">
        <v>39</v>
      </c>
      <c r="R150" t="s">
        <v>40</v>
      </c>
      <c r="S150" t="s">
        <v>32</v>
      </c>
      <c r="T150">
        <v>3</v>
      </c>
      <c r="U150" t="s">
        <v>168</v>
      </c>
      <c r="V150" t="s">
        <v>42</v>
      </c>
      <c r="W150" t="s">
        <v>32</v>
      </c>
      <c r="X150" t="s">
        <v>42</v>
      </c>
      <c r="Y150" t="s">
        <v>169</v>
      </c>
    </row>
    <row r="151" spans="1:25" ht="14.25" customHeight="1" x14ac:dyDescent="0.35">
      <c r="A151" t="s">
        <v>264</v>
      </c>
      <c r="B151">
        <v>19</v>
      </c>
      <c r="C151" t="s">
        <v>26</v>
      </c>
      <c r="D151" t="s">
        <v>27</v>
      </c>
      <c r="E151" t="s">
        <v>28</v>
      </c>
      <c r="F151" t="s">
        <v>29</v>
      </c>
      <c r="G151" t="s">
        <v>30</v>
      </c>
      <c r="H151" t="s">
        <v>107</v>
      </c>
      <c r="I151" t="s">
        <v>32</v>
      </c>
      <c r="J151" t="s">
        <v>33</v>
      </c>
      <c r="K151" t="s">
        <v>34</v>
      </c>
      <c r="L151" t="s">
        <v>35</v>
      </c>
      <c r="M151">
        <v>2</v>
      </c>
      <c r="N151" t="s">
        <v>88</v>
      </c>
      <c r="O151" t="s">
        <v>104</v>
      </c>
      <c r="P151" t="s">
        <v>51</v>
      </c>
      <c r="Q151" t="s">
        <v>94</v>
      </c>
      <c r="R151" t="s">
        <v>101</v>
      </c>
      <c r="S151" t="s">
        <v>32</v>
      </c>
      <c r="T151">
        <v>1</v>
      </c>
      <c r="U151" t="s">
        <v>90</v>
      </c>
      <c r="V151" t="s">
        <v>84</v>
      </c>
      <c r="W151" t="s">
        <v>75</v>
      </c>
      <c r="X151" t="s">
        <v>84</v>
      </c>
      <c r="Y151" t="s">
        <v>108</v>
      </c>
    </row>
    <row r="152" spans="1:25" ht="14.25" customHeight="1" x14ac:dyDescent="0.35">
      <c r="A152" t="s">
        <v>265</v>
      </c>
      <c r="B152">
        <v>14</v>
      </c>
      <c r="C152" t="s">
        <v>26</v>
      </c>
      <c r="D152" t="s">
        <v>27</v>
      </c>
      <c r="E152" t="s">
        <v>28</v>
      </c>
      <c r="F152" t="s">
        <v>68</v>
      </c>
      <c r="G152" t="s">
        <v>72</v>
      </c>
      <c r="H152" t="s">
        <v>31</v>
      </c>
      <c r="I152" t="s">
        <v>32</v>
      </c>
      <c r="J152" t="s">
        <v>92</v>
      </c>
      <c r="K152" t="s">
        <v>34</v>
      </c>
      <c r="L152" t="s">
        <v>50</v>
      </c>
      <c r="M152">
        <v>3</v>
      </c>
      <c r="N152" t="s">
        <v>36</v>
      </c>
      <c r="O152" t="s">
        <v>37</v>
      </c>
      <c r="P152" t="s">
        <v>64</v>
      </c>
      <c r="Q152" t="s">
        <v>65</v>
      </c>
      <c r="R152" t="s">
        <v>116</v>
      </c>
      <c r="S152" t="s">
        <v>32</v>
      </c>
      <c r="T152">
        <v>2</v>
      </c>
      <c r="U152" t="s">
        <v>168</v>
      </c>
      <c r="V152" t="s">
        <v>98</v>
      </c>
      <c r="W152" t="s">
        <v>75</v>
      </c>
      <c r="X152" t="s">
        <v>98</v>
      </c>
      <c r="Y152" t="s">
        <v>169</v>
      </c>
    </row>
    <row r="153" spans="1:25" ht="14.25" customHeight="1" x14ac:dyDescent="0.35">
      <c r="A153" t="s">
        <v>266</v>
      </c>
      <c r="B153">
        <v>17</v>
      </c>
      <c r="C153" t="s">
        <v>26</v>
      </c>
      <c r="D153" t="s">
        <v>27</v>
      </c>
      <c r="E153" t="s">
        <v>28</v>
      </c>
      <c r="F153" t="s">
        <v>181</v>
      </c>
      <c r="G153" t="s">
        <v>87</v>
      </c>
      <c r="H153" t="s">
        <v>31</v>
      </c>
      <c r="I153" t="s">
        <v>32</v>
      </c>
      <c r="J153" t="s">
        <v>92</v>
      </c>
      <c r="K153" t="s">
        <v>34</v>
      </c>
      <c r="L153" t="s">
        <v>50</v>
      </c>
      <c r="M153">
        <v>4</v>
      </c>
      <c r="N153" t="s">
        <v>88</v>
      </c>
      <c r="O153" t="s">
        <v>104</v>
      </c>
      <c r="P153" t="s">
        <v>51</v>
      </c>
      <c r="Q153" t="s">
        <v>52</v>
      </c>
      <c r="R153" t="s">
        <v>53</v>
      </c>
      <c r="S153" t="s">
        <v>74</v>
      </c>
      <c r="T153">
        <v>4</v>
      </c>
      <c r="U153" t="s">
        <v>90</v>
      </c>
      <c r="V153" t="s">
        <v>42</v>
      </c>
      <c r="W153" t="s">
        <v>75</v>
      </c>
      <c r="X153" t="s">
        <v>42</v>
      </c>
      <c r="Y153" t="s">
        <v>76</v>
      </c>
    </row>
    <row r="154" spans="1:25" ht="14.25" customHeight="1" x14ac:dyDescent="0.35">
      <c r="A154" t="s">
        <v>267</v>
      </c>
      <c r="B154">
        <v>55</v>
      </c>
      <c r="C154" t="s">
        <v>63</v>
      </c>
      <c r="D154" t="s">
        <v>27</v>
      </c>
      <c r="E154" t="s">
        <v>78</v>
      </c>
      <c r="F154" t="s">
        <v>68</v>
      </c>
      <c r="G154" t="s">
        <v>30</v>
      </c>
      <c r="H154" t="s">
        <v>48</v>
      </c>
      <c r="I154" t="s">
        <v>32</v>
      </c>
      <c r="J154" t="s">
        <v>49</v>
      </c>
      <c r="K154" t="s">
        <v>34</v>
      </c>
      <c r="L154" t="s">
        <v>50</v>
      </c>
      <c r="M154">
        <v>5</v>
      </c>
      <c r="N154" t="s">
        <v>88</v>
      </c>
      <c r="O154" t="s">
        <v>104</v>
      </c>
      <c r="P154" t="s">
        <v>64</v>
      </c>
      <c r="Q154" t="s">
        <v>52</v>
      </c>
      <c r="R154" t="s">
        <v>53</v>
      </c>
      <c r="S154" t="s">
        <v>74</v>
      </c>
      <c r="T154">
        <v>2</v>
      </c>
      <c r="U154" t="s">
        <v>110</v>
      </c>
      <c r="V154" t="s">
        <v>98</v>
      </c>
      <c r="W154" t="s">
        <v>32</v>
      </c>
      <c r="X154" t="s">
        <v>98</v>
      </c>
      <c r="Y154" t="s">
        <v>76</v>
      </c>
    </row>
    <row r="155" spans="1:25" ht="14.25" customHeight="1" x14ac:dyDescent="0.35">
      <c r="A155" t="s">
        <v>268</v>
      </c>
      <c r="B155">
        <v>16</v>
      </c>
      <c r="C155" t="s">
        <v>26</v>
      </c>
      <c r="D155" t="s">
        <v>27</v>
      </c>
      <c r="E155" t="s">
        <v>55</v>
      </c>
      <c r="F155" t="s">
        <v>29</v>
      </c>
      <c r="G155" t="s">
        <v>87</v>
      </c>
      <c r="H155" t="s">
        <v>31</v>
      </c>
      <c r="I155" t="s">
        <v>32</v>
      </c>
      <c r="J155" t="s">
        <v>92</v>
      </c>
      <c r="K155" t="s">
        <v>80</v>
      </c>
      <c r="L155" t="s">
        <v>80</v>
      </c>
      <c r="M155">
        <v>0</v>
      </c>
      <c r="N155" t="s">
        <v>81</v>
      </c>
      <c r="O155" t="s">
        <v>81</v>
      </c>
      <c r="P155" t="s">
        <v>81</v>
      </c>
      <c r="Q155" t="s">
        <v>81</v>
      </c>
      <c r="R155" t="s">
        <v>81</v>
      </c>
      <c r="S155" t="s">
        <v>74</v>
      </c>
      <c r="T155" t="s">
        <v>82</v>
      </c>
      <c r="U155" t="s">
        <v>147</v>
      </c>
      <c r="V155" t="s">
        <v>42</v>
      </c>
      <c r="W155" t="s">
        <v>32</v>
      </c>
      <c r="X155" t="s">
        <v>42</v>
      </c>
      <c r="Y155" t="s">
        <v>148</v>
      </c>
    </row>
    <row r="156" spans="1:25" ht="14.25" customHeight="1" x14ac:dyDescent="0.35">
      <c r="A156" t="s">
        <v>269</v>
      </c>
      <c r="B156">
        <v>43</v>
      </c>
      <c r="C156" t="s">
        <v>45</v>
      </c>
      <c r="D156" t="s">
        <v>27</v>
      </c>
      <c r="E156" t="s">
        <v>33</v>
      </c>
      <c r="F156" t="s">
        <v>29</v>
      </c>
      <c r="G156" t="s">
        <v>47</v>
      </c>
      <c r="H156" t="s">
        <v>48</v>
      </c>
      <c r="I156" t="s">
        <v>32</v>
      </c>
      <c r="J156" t="s">
        <v>92</v>
      </c>
      <c r="K156" t="s">
        <v>34</v>
      </c>
      <c r="L156" t="s">
        <v>50</v>
      </c>
      <c r="M156">
        <v>2</v>
      </c>
      <c r="N156" t="s">
        <v>36</v>
      </c>
      <c r="O156" t="s">
        <v>37</v>
      </c>
      <c r="P156" t="s">
        <v>64</v>
      </c>
      <c r="Q156" t="s">
        <v>65</v>
      </c>
      <c r="R156" t="s">
        <v>101</v>
      </c>
      <c r="S156" t="s">
        <v>74</v>
      </c>
      <c r="T156">
        <v>2</v>
      </c>
      <c r="U156" t="s">
        <v>41</v>
      </c>
      <c r="V156" t="s">
        <v>84</v>
      </c>
      <c r="W156" t="s">
        <v>75</v>
      </c>
      <c r="X156" t="s">
        <v>84</v>
      </c>
      <c r="Y156" t="s">
        <v>76</v>
      </c>
    </row>
    <row r="157" spans="1:25" ht="14.25" customHeight="1" x14ac:dyDescent="0.35">
      <c r="A157" t="s">
        <v>270</v>
      </c>
      <c r="B157">
        <v>19</v>
      </c>
      <c r="C157" t="s">
        <v>26</v>
      </c>
      <c r="D157" t="s">
        <v>27</v>
      </c>
      <c r="E157" t="s">
        <v>55</v>
      </c>
      <c r="F157" t="s">
        <v>29</v>
      </c>
      <c r="G157" t="s">
        <v>47</v>
      </c>
      <c r="H157" t="s">
        <v>107</v>
      </c>
      <c r="I157" t="s">
        <v>32</v>
      </c>
      <c r="J157" t="s">
        <v>57</v>
      </c>
      <c r="K157" t="s">
        <v>34</v>
      </c>
      <c r="L157" t="s">
        <v>35</v>
      </c>
      <c r="M157">
        <v>5</v>
      </c>
      <c r="N157" t="s">
        <v>36</v>
      </c>
      <c r="O157" t="s">
        <v>37</v>
      </c>
      <c r="P157" t="s">
        <v>38</v>
      </c>
      <c r="Q157" t="s">
        <v>39</v>
      </c>
      <c r="R157" t="s">
        <v>70</v>
      </c>
      <c r="S157" t="s">
        <v>32</v>
      </c>
      <c r="T157">
        <v>5</v>
      </c>
      <c r="U157" t="s">
        <v>121</v>
      </c>
      <c r="V157" t="s">
        <v>84</v>
      </c>
      <c r="W157" t="s">
        <v>32</v>
      </c>
      <c r="X157" t="s">
        <v>84</v>
      </c>
      <c r="Y157" t="s">
        <v>122</v>
      </c>
    </row>
    <row r="158" spans="1:25" ht="14.25" customHeight="1" x14ac:dyDescent="0.35">
      <c r="A158" t="s">
        <v>271</v>
      </c>
      <c r="B158">
        <v>57</v>
      </c>
      <c r="C158" t="s">
        <v>63</v>
      </c>
      <c r="D158" t="s">
        <v>27</v>
      </c>
      <c r="E158" t="s">
        <v>78</v>
      </c>
      <c r="F158" t="s">
        <v>68</v>
      </c>
      <c r="G158" t="s">
        <v>87</v>
      </c>
      <c r="H158" t="s">
        <v>48</v>
      </c>
      <c r="I158" t="s">
        <v>32</v>
      </c>
      <c r="J158" t="s">
        <v>49</v>
      </c>
      <c r="K158" t="s">
        <v>80</v>
      </c>
      <c r="L158" t="s">
        <v>80</v>
      </c>
      <c r="M158">
        <v>0</v>
      </c>
      <c r="N158" t="s">
        <v>81</v>
      </c>
      <c r="O158" t="s">
        <v>81</v>
      </c>
      <c r="P158" t="s">
        <v>81</v>
      </c>
      <c r="Q158" t="s">
        <v>81</v>
      </c>
      <c r="R158" t="s">
        <v>81</v>
      </c>
      <c r="S158" t="s">
        <v>74</v>
      </c>
      <c r="T158" t="s">
        <v>82</v>
      </c>
      <c r="U158" t="s">
        <v>83</v>
      </c>
      <c r="V158" t="s">
        <v>42</v>
      </c>
      <c r="W158" t="s">
        <v>32</v>
      </c>
      <c r="X158" t="s">
        <v>42</v>
      </c>
      <c r="Y158" t="s">
        <v>85</v>
      </c>
    </row>
    <row r="159" spans="1:25" ht="14.25" customHeight="1" x14ac:dyDescent="0.35">
      <c r="A159" t="s">
        <v>272</v>
      </c>
      <c r="B159">
        <v>37</v>
      </c>
      <c r="C159" t="s">
        <v>67</v>
      </c>
      <c r="D159" t="s">
        <v>27</v>
      </c>
      <c r="E159" t="s">
        <v>28</v>
      </c>
      <c r="F159" t="s">
        <v>29</v>
      </c>
      <c r="G159" t="s">
        <v>30</v>
      </c>
      <c r="H159" t="s">
        <v>48</v>
      </c>
      <c r="I159" t="s">
        <v>32</v>
      </c>
      <c r="J159" t="s">
        <v>79</v>
      </c>
      <c r="K159" t="s">
        <v>34</v>
      </c>
      <c r="L159" t="s">
        <v>50</v>
      </c>
      <c r="M159">
        <v>3</v>
      </c>
      <c r="N159" t="s">
        <v>88</v>
      </c>
      <c r="O159" t="s">
        <v>104</v>
      </c>
      <c r="P159" t="s">
        <v>51</v>
      </c>
      <c r="Q159" t="s">
        <v>52</v>
      </c>
      <c r="R159" t="s">
        <v>116</v>
      </c>
      <c r="S159" t="s">
        <v>32</v>
      </c>
      <c r="T159">
        <v>3</v>
      </c>
      <c r="U159" t="s">
        <v>90</v>
      </c>
      <c r="V159" t="s">
        <v>42</v>
      </c>
      <c r="W159" t="s">
        <v>74</v>
      </c>
      <c r="X159" t="s">
        <v>42</v>
      </c>
      <c r="Y159" t="s">
        <v>108</v>
      </c>
    </row>
    <row r="160" spans="1:25" ht="14.25" customHeight="1" x14ac:dyDescent="0.35">
      <c r="A160" t="s">
        <v>273</v>
      </c>
      <c r="B160">
        <v>44</v>
      </c>
      <c r="C160" t="s">
        <v>45</v>
      </c>
      <c r="D160" t="s">
        <v>27</v>
      </c>
      <c r="E160" t="s">
        <v>118</v>
      </c>
      <c r="F160" t="s">
        <v>56</v>
      </c>
      <c r="G160" t="s">
        <v>30</v>
      </c>
      <c r="H160" t="s">
        <v>48</v>
      </c>
      <c r="I160" t="s">
        <v>32</v>
      </c>
      <c r="J160" t="s">
        <v>92</v>
      </c>
      <c r="K160" t="s">
        <v>80</v>
      </c>
      <c r="L160" t="s">
        <v>80</v>
      </c>
      <c r="M160">
        <v>0</v>
      </c>
      <c r="N160" t="s">
        <v>81</v>
      </c>
      <c r="O160" t="s">
        <v>81</v>
      </c>
      <c r="P160" t="s">
        <v>81</v>
      </c>
      <c r="Q160" t="s">
        <v>81</v>
      </c>
      <c r="R160" t="s">
        <v>81</v>
      </c>
      <c r="S160" t="s">
        <v>74</v>
      </c>
      <c r="T160" t="s">
        <v>82</v>
      </c>
      <c r="U160" t="s">
        <v>83</v>
      </c>
      <c r="V160" t="s">
        <v>84</v>
      </c>
      <c r="W160" t="s">
        <v>75</v>
      </c>
      <c r="X160" t="s">
        <v>84</v>
      </c>
      <c r="Y160" t="s">
        <v>85</v>
      </c>
    </row>
    <row r="161" spans="1:25" ht="14.25" customHeight="1" x14ac:dyDescent="0.35">
      <c r="A161" t="s">
        <v>274</v>
      </c>
      <c r="B161">
        <v>14</v>
      </c>
      <c r="C161" t="s">
        <v>26</v>
      </c>
      <c r="D161" t="s">
        <v>27</v>
      </c>
      <c r="E161" t="s">
        <v>28</v>
      </c>
      <c r="F161" t="s">
        <v>29</v>
      </c>
      <c r="G161" t="s">
        <v>30</v>
      </c>
      <c r="H161" t="s">
        <v>31</v>
      </c>
      <c r="I161" t="s">
        <v>32</v>
      </c>
      <c r="J161" t="s">
        <v>92</v>
      </c>
      <c r="K161" t="s">
        <v>34</v>
      </c>
      <c r="L161" t="s">
        <v>103</v>
      </c>
      <c r="M161">
        <v>3</v>
      </c>
      <c r="N161" t="s">
        <v>88</v>
      </c>
      <c r="O161" t="s">
        <v>104</v>
      </c>
      <c r="P161" t="s">
        <v>51</v>
      </c>
      <c r="Q161" t="s">
        <v>65</v>
      </c>
      <c r="R161" t="s">
        <v>116</v>
      </c>
      <c r="S161" t="s">
        <v>32</v>
      </c>
      <c r="T161">
        <v>2</v>
      </c>
      <c r="U161" t="s">
        <v>90</v>
      </c>
      <c r="V161" t="s">
        <v>114</v>
      </c>
      <c r="W161" t="s">
        <v>74</v>
      </c>
      <c r="X161" t="s">
        <v>114</v>
      </c>
      <c r="Y161" t="s">
        <v>108</v>
      </c>
    </row>
    <row r="162" spans="1:25" ht="14.25" customHeight="1" x14ac:dyDescent="0.35">
      <c r="A162" t="s">
        <v>275</v>
      </c>
      <c r="B162">
        <v>51</v>
      </c>
      <c r="C162" t="s">
        <v>63</v>
      </c>
      <c r="D162" t="s">
        <v>27</v>
      </c>
      <c r="E162" t="s">
        <v>78</v>
      </c>
      <c r="F162" t="s">
        <v>29</v>
      </c>
      <c r="G162" t="s">
        <v>87</v>
      </c>
      <c r="H162" t="s">
        <v>48</v>
      </c>
      <c r="I162" t="s">
        <v>32</v>
      </c>
      <c r="J162" t="s">
        <v>49</v>
      </c>
      <c r="K162" t="s">
        <v>34</v>
      </c>
      <c r="L162" t="s">
        <v>35</v>
      </c>
      <c r="M162">
        <v>2</v>
      </c>
      <c r="N162" t="s">
        <v>93</v>
      </c>
      <c r="O162" t="s">
        <v>142</v>
      </c>
      <c r="P162" t="s">
        <v>127</v>
      </c>
      <c r="Q162" t="s">
        <v>94</v>
      </c>
      <c r="R162" t="s">
        <v>116</v>
      </c>
      <c r="S162" t="s">
        <v>74</v>
      </c>
      <c r="T162">
        <v>1</v>
      </c>
      <c r="U162" t="s">
        <v>60</v>
      </c>
      <c r="V162" t="s">
        <v>132</v>
      </c>
      <c r="W162" t="s">
        <v>74</v>
      </c>
      <c r="X162" t="s">
        <v>132</v>
      </c>
      <c r="Y162" t="s">
        <v>76</v>
      </c>
    </row>
    <row r="163" spans="1:25" ht="14.25" customHeight="1" x14ac:dyDescent="0.35">
      <c r="A163" t="s">
        <v>276</v>
      </c>
      <c r="B163">
        <v>53</v>
      </c>
      <c r="C163" t="s">
        <v>63</v>
      </c>
      <c r="D163" t="s">
        <v>27</v>
      </c>
      <c r="E163" t="s">
        <v>118</v>
      </c>
      <c r="F163" t="s">
        <v>68</v>
      </c>
      <c r="G163" t="s">
        <v>30</v>
      </c>
      <c r="H163" t="s">
        <v>119</v>
      </c>
      <c r="I163" t="s">
        <v>32</v>
      </c>
      <c r="J163" t="s">
        <v>92</v>
      </c>
      <c r="K163" t="s">
        <v>34</v>
      </c>
      <c r="L163" t="s">
        <v>50</v>
      </c>
      <c r="M163">
        <v>3</v>
      </c>
      <c r="N163" t="s">
        <v>88</v>
      </c>
      <c r="O163" t="s">
        <v>104</v>
      </c>
      <c r="P163" t="s">
        <v>51</v>
      </c>
      <c r="Q163" t="s">
        <v>65</v>
      </c>
      <c r="R163" t="s">
        <v>116</v>
      </c>
      <c r="S163" t="s">
        <v>32</v>
      </c>
      <c r="T163">
        <v>1</v>
      </c>
      <c r="U163" t="s">
        <v>41</v>
      </c>
      <c r="V163" t="s">
        <v>84</v>
      </c>
      <c r="W163" t="s">
        <v>74</v>
      </c>
      <c r="X163" t="s">
        <v>84</v>
      </c>
      <c r="Y163" t="s">
        <v>43</v>
      </c>
    </row>
    <row r="164" spans="1:25" ht="14.25" customHeight="1" x14ac:dyDescent="0.35">
      <c r="A164" t="s">
        <v>277</v>
      </c>
      <c r="B164">
        <v>52</v>
      </c>
      <c r="C164" t="s">
        <v>63</v>
      </c>
      <c r="D164" t="s">
        <v>27</v>
      </c>
      <c r="E164" t="s">
        <v>78</v>
      </c>
      <c r="F164" t="s">
        <v>29</v>
      </c>
      <c r="G164" t="s">
        <v>30</v>
      </c>
      <c r="H164" t="s">
        <v>48</v>
      </c>
      <c r="I164" t="s">
        <v>32</v>
      </c>
      <c r="J164" t="s">
        <v>57</v>
      </c>
      <c r="K164" t="s">
        <v>34</v>
      </c>
      <c r="L164" t="s">
        <v>103</v>
      </c>
      <c r="M164">
        <v>4</v>
      </c>
      <c r="N164" t="s">
        <v>36</v>
      </c>
      <c r="O164" t="s">
        <v>37</v>
      </c>
      <c r="P164" t="s">
        <v>38</v>
      </c>
      <c r="Q164" t="s">
        <v>59</v>
      </c>
      <c r="R164" t="s">
        <v>40</v>
      </c>
      <c r="S164" t="s">
        <v>32</v>
      </c>
      <c r="T164">
        <v>4</v>
      </c>
      <c r="U164" t="s">
        <v>110</v>
      </c>
      <c r="V164" t="s">
        <v>98</v>
      </c>
      <c r="W164" t="s">
        <v>32</v>
      </c>
      <c r="X164" t="s">
        <v>98</v>
      </c>
      <c r="Y164" t="s">
        <v>135</v>
      </c>
    </row>
    <row r="165" spans="1:25" ht="14.25" customHeight="1" x14ac:dyDescent="0.35">
      <c r="A165" t="s">
        <v>278</v>
      </c>
      <c r="B165">
        <v>49</v>
      </c>
      <c r="C165" t="s">
        <v>45</v>
      </c>
      <c r="D165" t="s">
        <v>27</v>
      </c>
      <c r="E165" t="s">
        <v>78</v>
      </c>
      <c r="F165" t="s">
        <v>29</v>
      </c>
      <c r="G165" t="s">
        <v>47</v>
      </c>
      <c r="H165" t="s">
        <v>48</v>
      </c>
      <c r="I165" t="s">
        <v>74</v>
      </c>
      <c r="J165" t="s">
        <v>96</v>
      </c>
      <c r="K165" t="s">
        <v>80</v>
      </c>
      <c r="L165" t="s">
        <v>80</v>
      </c>
      <c r="M165">
        <v>0</v>
      </c>
      <c r="N165" t="s">
        <v>81</v>
      </c>
      <c r="O165" t="s">
        <v>81</v>
      </c>
      <c r="P165" t="s">
        <v>81</v>
      </c>
      <c r="Q165" t="s">
        <v>81</v>
      </c>
      <c r="R165" t="s">
        <v>81</v>
      </c>
      <c r="S165" t="s">
        <v>74</v>
      </c>
      <c r="T165" t="s">
        <v>82</v>
      </c>
      <c r="U165" t="s">
        <v>97</v>
      </c>
      <c r="V165" t="s">
        <v>42</v>
      </c>
      <c r="W165" t="s">
        <v>74</v>
      </c>
      <c r="X165" t="s">
        <v>42</v>
      </c>
      <c r="Y165" t="s">
        <v>99</v>
      </c>
    </row>
    <row r="166" spans="1:25" ht="14.25" customHeight="1" x14ac:dyDescent="0.35">
      <c r="A166" t="s">
        <v>279</v>
      </c>
      <c r="B166">
        <v>16</v>
      </c>
      <c r="C166" t="s">
        <v>26</v>
      </c>
      <c r="D166" t="s">
        <v>27</v>
      </c>
      <c r="E166" t="s">
        <v>55</v>
      </c>
      <c r="F166" t="s">
        <v>29</v>
      </c>
      <c r="G166" t="s">
        <v>87</v>
      </c>
      <c r="H166" t="s">
        <v>31</v>
      </c>
      <c r="I166" t="s">
        <v>74</v>
      </c>
      <c r="J166" t="s">
        <v>96</v>
      </c>
      <c r="K166" t="s">
        <v>80</v>
      </c>
      <c r="L166" t="s">
        <v>80</v>
      </c>
      <c r="M166">
        <v>0</v>
      </c>
      <c r="N166" t="s">
        <v>81</v>
      </c>
      <c r="O166" t="s">
        <v>81</v>
      </c>
      <c r="P166" t="s">
        <v>81</v>
      </c>
      <c r="Q166" t="s">
        <v>81</v>
      </c>
      <c r="R166" t="s">
        <v>81</v>
      </c>
      <c r="S166" t="s">
        <v>74</v>
      </c>
      <c r="T166" t="s">
        <v>82</v>
      </c>
      <c r="U166" t="s">
        <v>97</v>
      </c>
      <c r="V166" t="s">
        <v>84</v>
      </c>
      <c r="W166" t="s">
        <v>74</v>
      </c>
      <c r="X166" t="s">
        <v>84</v>
      </c>
      <c r="Y166" t="s">
        <v>99</v>
      </c>
    </row>
    <row r="167" spans="1:25" ht="14.25" customHeight="1" x14ac:dyDescent="0.35">
      <c r="A167" t="s">
        <v>280</v>
      </c>
      <c r="B167">
        <v>15</v>
      </c>
      <c r="C167" t="s">
        <v>26</v>
      </c>
      <c r="D167" t="s">
        <v>27</v>
      </c>
      <c r="E167" t="s">
        <v>55</v>
      </c>
      <c r="F167" t="s">
        <v>68</v>
      </c>
      <c r="G167" t="s">
        <v>30</v>
      </c>
      <c r="H167" t="s">
        <v>31</v>
      </c>
      <c r="I167" t="s">
        <v>32</v>
      </c>
      <c r="J167" t="s">
        <v>92</v>
      </c>
      <c r="K167" t="s">
        <v>34</v>
      </c>
      <c r="L167" t="s">
        <v>50</v>
      </c>
      <c r="M167">
        <v>2</v>
      </c>
      <c r="N167" t="s">
        <v>88</v>
      </c>
      <c r="O167" t="s">
        <v>104</v>
      </c>
      <c r="P167" t="s">
        <v>127</v>
      </c>
      <c r="Q167" t="s">
        <v>94</v>
      </c>
      <c r="R167" t="s">
        <v>116</v>
      </c>
      <c r="S167" t="s">
        <v>74</v>
      </c>
      <c r="T167">
        <v>2</v>
      </c>
      <c r="U167" t="s">
        <v>90</v>
      </c>
      <c r="V167" t="s">
        <v>114</v>
      </c>
      <c r="W167" t="s">
        <v>74</v>
      </c>
      <c r="X167" t="s">
        <v>114</v>
      </c>
      <c r="Y167" t="s">
        <v>76</v>
      </c>
    </row>
    <row r="168" spans="1:25" ht="14.25" customHeight="1" x14ac:dyDescent="0.35">
      <c r="A168" t="s">
        <v>281</v>
      </c>
      <c r="B168">
        <v>46</v>
      </c>
      <c r="C168" t="s">
        <v>45</v>
      </c>
      <c r="D168" t="s">
        <v>27</v>
      </c>
      <c r="E168" t="s">
        <v>118</v>
      </c>
      <c r="F168" t="s">
        <v>56</v>
      </c>
      <c r="G168" t="s">
        <v>47</v>
      </c>
      <c r="H168" t="s">
        <v>48</v>
      </c>
      <c r="I168" t="s">
        <v>74</v>
      </c>
      <c r="J168" t="s">
        <v>96</v>
      </c>
      <c r="K168" t="s">
        <v>80</v>
      </c>
      <c r="L168" t="s">
        <v>80</v>
      </c>
      <c r="M168">
        <v>0</v>
      </c>
      <c r="N168" t="s">
        <v>81</v>
      </c>
      <c r="O168" t="s">
        <v>81</v>
      </c>
      <c r="P168" t="s">
        <v>81</v>
      </c>
      <c r="Q168" t="s">
        <v>81</v>
      </c>
      <c r="R168" t="s">
        <v>81</v>
      </c>
      <c r="S168" t="s">
        <v>74</v>
      </c>
      <c r="T168" t="s">
        <v>82</v>
      </c>
      <c r="U168" t="s">
        <v>97</v>
      </c>
      <c r="V168" t="s">
        <v>98</v>
      </c>
      <c r="W168" t="s">
        <v>75</v>
      </c>
      <c r="X168" t="s">
        <v>98</v>
      </c>
      <c r="Y168" t="s">
        <v>99</v>
      </c>
    </row>
    <row r="169" spans="1:25" ht="14.25" customHeight="1" x14ac:dyDescent="0.35">
      <c r="A169" t="s">
        <v>282</v>
      </c>
      <c r="B169">
        <v>18</v>
      </c>
      <c r="C169" t="s">
        <v>26</v>
      </c>
      <c r="D169" t="s">
        <v>27</v>
      </c>
      <c r="E169" t="s">
        <v>55</v>
      </c>
      <c r="F169" t="s">
        <v>29</v>
      </c>
      <c r="G169" t="s">
        <v>87</v>
      </c>
      <c r="H169" t="s">
        <v>107</v>
      </c>
      <c r="I169" t="s">
        <v>74</v>
      </c>
      <c r="J169" t="s">
        <v>96</v>
      </c>
      <c r="K169" t="s">
        <v>80</v>
      </c>
      <c r="L169" t="s">
        <v>80</v>
      </c>
      <c r="M169">
        <v>0</v>
      </c>
      <c r="N169" t="s">
        <v>81</v>
      </c>
      <c r="O169" t="s">
        <v>81</v>
      </c>
      <c r="P169" t="s">
        <v>81</v>
      </c>
      <c r="Q169" t="s">
        <v>81</v>
      </c>
      <c r="R169" t="s">
        <v>81</v>
      </c>
      <c r="S169" t="s">
        <v>74</v>
      </c>
      <c r="T169" t="s">
        <v>82</v>
      </c>
      <c r="U169" t="s">
        <v>97</v>
      </c>
      <c r="V169" t="s">
        <v>84</v>
      </c>
      <c r="W169" t="s">
        <v>74</v>
      </c>
      <c r="X169" t="s">
        <v>84</v>
      </c>
      <c r="Y169" t="s">
        <v>99</v>
      </c>
    </row>
    <row r="170" spans="1:25" ht="14.25" customHeight="1" x14ac:dyDescent="0.35">
      <c r="A170" t="s">
        <v>283</v>
      </c>
      <c r="B170">
        <v>38</v>
      </c>
      <c r="C170" t="s">
        <v>67</v>
      </c>
      <c r="D170" t="s">
        <v>27</v>
      </c>
      <c r="E170" t="s">
        <v>78</v>
      </c>
      <c r="F170" t="s">
        <v>29</v>
      </c>
      <c r="G170" t="s">
        <v>87</v>
      </c>
      <c r="H170" t="s">
        <v>48</v>
      </c>
      <c r="I170" t="s">
        <v>32</v>
      </c>
      <c r="J170" t="s">
        <v>49</v>
      </c>
      <c r="K170" t="s">
        <v>34</v>
      </c>
      <c r="L170" t="s">
        <v>103</v>
      </c>
      <c r="M170">
        <v>3</v>
      </c>
      <c r="N170" t="s">
        <v>88</v>
      </c>
      <c r="O170" t="s">
        <v>104</v>
      </c>
      <c r="P170" t="s">
        <v>51</v>
      </c>
      <c r="Q170" t="s">
        <v>65</v>
      </c>
      <c r="R170" t="s">
        <v>116</v>
      </c>
      <c r="S170" t="s">
        <v>32</v>
      </c>
      <c r="T170">
        <v>1</v>
      </c>
      <c r="U170" t="s">
        <v>90</v>
      </c>
      <c r="V170" t="s">
        <v>42</v>
      </c>
      <c r="W170" t="s">
        <v>74</v>
      </c>
      <c r="X170" t="s">
        <v>42</v>
      </c>
      <c r="Y170" t="s">
        <v>108</v>
      </c>
    </row>
    <row r="171" spans="1:25" ht="14.25" customHeight="1" x14ac:dyDescent="0.35">
      <c r="A171" t="s">
        <v>284</v>
      </c>
      <c r="B171">
        <v>30</v>
      </c>
      <c r="C171" t="s">
        <v>67</v>
      </c>
      <c r="D171" t="s">
        <v>27</v>
      </c>
      <c r="E171" t="s">
        <v>28</v>
      </c>
      <c r="F171" t="s">
        <v>68</v>
      </c>
      <c r="G171" t="s">
        <v>30</v>
      </c>
      <c r="H171" t="s">
        <v>48</v>
      </c>
      <c r="I171" t="s">
        <v>32</v>
      </c>
      <c r="J171" t="s">
        <v>33</v>
      </c>
      <c r="K171" t="s">
        <v>34</v>
      </c>
      <c r="L171" t="s">
        <v>50</v>
      </c>
      <c r="M171">
        <v>3</v>
      </c>
      <c r="N171" t="s">
        <v>36</v>
      </c>
      <c r="O171" t="s">
        <v>37</v>
      </c>
      <c r="P171" t="s">
        <v>64</v>
      </c>
      <c r="Q171" t="s">
        <v>52</v>
      </c>
      <c r="R171" t="s">
        <v>116</v>
      </c>
      <c r="S171" t="s">
        <v>32</v>
      </c>
      <c r="T171">
        <v>4</v>
      </c>
      <c r="U171" t="s">
        <v>60</v>
      </c>
      <c r="V171" t="s">
        <v>84</v>
      </c>
      <c r="W171" t="s">
        <v>32</v>
      </c>
      <c r="X171" t="s">
        <v>84</v>
      </c>
      <c r="Y171" t="s">
        <v>61</v>
      </c>
    </row>
    <row r="172" spans="1:25" ht="14.25" customHeight="1" x14ac:dyDescent="0.35">
      <c r="A172" t="s">
        <v>285</v>
      </c>
      <c r="B172">
        <v>58</v>
      </c>
      <c r="C172" t="s">
        <v>63</v>
      </c>
      <c r="D172" t="s">
        <v>27</v>
      </c>
      <c r="E172" t="s">
        <v>78</v>
      </c>
      <c r="F172" t="s">
        <v>29</v>
      </c>
      <c r="G172" t="s">
        <v>30</v>
      </c>
      <c r="H172" t="s">
        <v>48</v>
      </c>
      <c r="I172" t="s">
        <v>74</v>
      </c>
      <c r="J172" t="s">
        <v>96</v>
      </c>
      <c r="K172" t="s">
        <v>80</v>
      </c>
      <c r="L172" t="s">
        <v>80</v>
      </c>
      <c r="M172">
        <v>0</v>
      </c>
      <c r="N172" t="s">
        <v>81</v>
      </c>
      <c r="O172" t="s">
        <v>81</v>
      </c>
      <c r="P172" t="s">
        <v>81</v>
      </c>
      <c r="Q172" t="s">
        <v>81</v>
      </c>
      <c r="R172" t="s">
        <v>81</v>
      </c>
      <c r="S172" t="s">
        <v>74</v>
      </c>
      <c r="T172" t="s">
        <v>82</v>
      </c>
      <c r="U172" t="s">
        <v>97</v>
      </c>
      <c r="V172" t="s">
        <v>42</v>
      </c>
      <c r="W172" t="s">
        <v>74</v>
      </c>
      <c r="X172" t="s">
        <v>42</v>
      </c>
      <c r="Y172" t="s">
        <v>99</v>
      </c>
    </row>
    <row r="173" spans="1:25" ht="14.25" customHeight="1" x14ac:dyDescent="0.35">
      <c r="A173" t="s">
        <v>286</v>
      </c>
      <c r="B173">
        <v>28</v>
      </c>
      <c r="C173" t="s">
        <v>106</v>
      </c>
      <c r="D173" t="s">
        <v>27</v>
      </c>
      <c r="E173" t="s">
        <v>28</v>
      </c>
      <c r="F173" t="s">
        <v>68</v>
      </c>
      <c r="G173" t="s">
        <v>30</v>
      </c>
      <c r="H173" t="s">
        <v>107</v>
      </c>
      <c r="I173" t="s">
        <v>32</v>
      </c>
      <c r="J173" t="s">
        <v>69</v>
      </c>
      <c r="K173" t="s">
        <v>34</v>
      </c>
      <c r="L173" t="s">
        <v>50</v>
      </c>
      <c r="M173">
        <v>3</v>
      </c>
      <c r="N173" t="s">
        <v>88</v>
      </c>
      <c r="O173" t="s">
        <v>104</v>
      </c>
      <c r="P173" t="s">
        <v>64</v>
      </c>
      <c r="Q173" t="s">
        <v>65</v>
      </c>
      <c r="R173" t="s">
        <v>101</v>
      </c>
      <c r="S173" t="s">
        <v>74</v>
      </c>
      <c r="T173">
        <v>2</v>
      </c>
      <c r="U173" t="s">
        <v>60</v>
      </c>
      <c r="V173" t="s">
        <v>84</v>
      </c>
      <c r="W173" t="s">
        <v>75</v>
      </c>
      <c r="X173" t="s">
        <v>84</v>
      </c>
      <c r="Y173" t="s">
        <v>76</v>
      </c>
    </row>
    <row r="174" spans="1:25" ht="14.25" customHeight="1" x14ac:dyDescent="0.35">
      <c r="A174" t="s">
        <v>287</v>
      </c>
      <c r="B174">
        <v>16</v>
      </c>
      <c r="C174" t="s">
        <v>26</v>
      </c>
      <c r="D174" t="s">
        <v>27</v>
      </c>
      <c r="E174" t="s">
        <v>55</v>
      </c>
      <c r="F174" t="s">
        <v>68</v>
      </c>
      <c r="G174" t="s">
        <v>30</v>
      </c>
      <c r="H174" t="s">
        <v>31</v>
      </c>
      <c r="I174" t="s">
        <v>74</v>
      </c>
      <c r="J174" t="s">
        <v>96</v>
      </c>
      <c r="K174" t="s">
        <v>80</v>
      </c>
      <c r="L174" t="s">
        <v>80</v>
      </c>
      <c r="M174">
        <v>0</v>
      </c>
      <c r="N174" t="s">
        <v>81</v>
      </c>
      <c r="O174" t="s">
        <v>81</v>
      </c>
      <c r="P174" t="s">
        <v>81</v>
      </c>
      <c r="Q174" t="s">
        <v>81</v>
      </c>
      <c r="R174" t="s">
        <v>81</v>
      </c>
      <c r="S174" t="s">
        <v>74</v>
      </c>
      <c r="T174" t="s">
        <v>82</v>
      </c>
      <c r="U174" t="s">
        <v>97</v>
      </c>
      <c r="V174" t="s">
        <v>84</v>
      </c>
      <c r="W174" t="s">
        <v>75</v>
      </c>
      <c r="X174" t="s">
        <v>84</v>
      </c>
      <c r="Y174" t="s">
        <v>99</v>
      </c>
    </row>
    <row r="175" spans="1:25" ht="14.25" customHeight="1" x14ac:dyDescent="0.35">
      <c r="A175" t="s">
        <v>288</v>
      </c>
      <c r="B175">
        <v>13</v>
      </c>
      <c r="C175" t="s">
        <v>26</v>
      </c>
      <c r="D175" t="s">
        <v>27</v>
      </c>
      <c r="E175" t="s">
        <v>55</v>
      </c>
      <c r="F175" t="s">
        <v>68</v>
      </c>
      <c r="G175" t="s">
        <v>87</v>
      </c>
      <c r="H175" t="s">
        <v>31</v>
      </c>
      <c r="I175" t="s">
        <v>74</v>
      </c>
      <c r="J175" t="s">
        <v>96</v>
      </c>
      <c r="K175" t="s">
        <v>80</v>
      </c>
      <c r="L175" t="s">
        <v>80</v>
      </c>
      <c r="M175">
        <v>0</v>
      </c>
      <c r="N175" t="s">
        <v>81</v>
      </c>
      <c r="O175" t="s">
        <v>81</v>
      </c>
      <c r="P175" t="s">
        <v>81</v>
      </c>
      <c r="Q175" t="s">
        <v>81</v>
      </c>
      <c r="R175" t="s">
        <v>81</v>
      </c>
      <c r="S175" t="s">
        <v>74</v>
      </c>
      <c r="T175" t="s">
        <v>82</v>
      </c>
      <c r="U175" t="s">
        <v>97</v>
      </c>
      <c r="V175" t="s">
        <v>42</v>
      </c>
      <c r="W175" t="s">
        <v>75</v>
      </c>
      <c r="X175" t="s">
        <v>42</v>
      </c>
      <c r="Y175" t="s">
        <v>99</v>
      </c>
    </row>
    <row r="176" spans="1:25" ht="14.25" customHeight="1" x14ac:dyDescent="0.35">
      <c r="A176" t="s">
        <v>289</v>
      </c>
      <c r="B176">
        <v>19</v>
      </c>
      <c r="C176" t="s">
        <v>26</v>
      </c>
      <c r="D176" t="s">
        <v>27</v>
      </c>
      <c r="E176" t="s">
        <v>28</v>
      </c>
      <c r="F176" t="s">
        <v>68</v>
      </c>
      <c r="G176" t="s">
        <v>30</v>
      </c>
      <c r="H176" t="s">
        <v>107</v>
      </c>
      <c r="I176" t="s">
        <v>32</v>
      </c>
      <c r="J176" t="s">
        <v>57</v>
      </c>
      <c r="K176" t="s">
        <v>34</v>
      </c>
      <c r="L176" t="s">
        <v>50</v>
      </c>
      <c r="M176">
        <v>4</v>
      </c>
      <c r="N176" t="s">
        <v>88</v>
      </c>
      <c r="O176" t="s">
        <v>89</v>
      </c>
      <c r="P176" t="s">
        <v>64</v>
      </c>
      <c r="Q176" t="s">
        <v>52</v>
      </c>
      <c r="R176" t="s">
        <v>53</v>
      </c>
      <c r="S176" t="s">
        <v>32</v>
      </c>
      <c r="T176">
        <v>2</v>
      </c>
      <c r="U176" t="s">
        <v>41</v>
      </c>
      <c r="V176" t="s">
        <v>42</v>
      </c>
      <c r="W176" t="s">
        <v>32</v>
      </c>
      <c r="X176" t="s">
        <v>42</v>
      </c>
      <c r="Y176" t="s">
        <v>43</v>
      </c>
    </row>
    <row r="177" spans="1:25" ht="14.25" customHeight="1" x14ac:dyDescent="0.35">
      <c r="A177" t="s">
        <v>290</v>
      </c>
      <c r="B177">
        <v>22</v>
      </c>
      <c r="C177" t="s">
        <v>106</v>
      </c>
      <c r="D177" t="s">
        <v>27</v>
      </c>
      <c r="E177" t="s">
        <v>28</v>
      </c>
      <c r="F177" t="s">
        <v>29</v>
      </c>
      <c r="G177" t="s">
        <v>30</v>
      </c>
      <c r="H177" t="s">
        <v>107</v>
      </c>
      <c r="I177" t="s">
        <v>32</v>
      </c>
      <c r="J177" t="s">
        <v>92</v>
      </c>
      <c r="K177" t="s">
        <v>34</v>
      </c>
      <c r="L177" t="s">
        <v>103</v>
      </c>
      <c r="M177">
        <v>3</v>
      </c>
      <c r="N177" t="s">
        <v>88</v>
      </c>
      <c r="O177" t="s">
        <v>89</v>
      </c>
      <c r="P177" t="s">
        <v>51</v>
      </c>
      <c r="Q177" t="s">
        <v>94</v>
      </c>
      <c r="R177" t="s">
        <v>116</v>
      </c>
      <c r="S177" t="s">
        <v>74</v>
      </c>
      <c r="T177">
        <v>1</v>
      </c>
      <c r="U177" t="s">
        <v>41</v>
      </c>
      <c r="V177" t="s">
        <v>84</v>
      </c>
      <c r="W177" t="s">
        <v>74</v>
      </c>
      <c r="X177" t="s">
        <v>84</v>
      </c>
      <c r="Y177" t="s">
        <v>76</v>
      </c>
    </row>
    <row r="178" spans="1:25" ht="14.25" customHeight="1" x14ac:dyDescent="0.35">
      <c r="A178" t="s">
        <v>291</v>
      </c>
      <c r="B178">
        <v>39</v>
      </c>
      <c r="C178" t="s">
        <v>67</v>
      </c>
      <c r="D178" t="s">
        <v>27</v>
      </c>
      <c r="E178" t="s">
        <v>28</v>
      </c>
      <c r="F178" t="s">
        <v>29</v>
      </c>
      <c r="G178" t="s">
        <v>87</v>
      </c>
      <c r="H178" t="s">
        <v>48</v>
      </c>
      <c r="I178" t="s">
        <v>32</v>
      </c>
      <c r="J178" t="s">
        <v>33</v>
      </c>
      <c r="K178" t="s">
        <v>34</v>
      </c>
      <c r="L178" t="s">
        <v>103</v>
      </c>
      <c r="M178">
        <v>4</v>
      </c>
      <c r="N178" t="s">
        <v>88</v>
      </c>
      <c r="O178" t="s">
        <v>89</v>
      </c>
      <c r="P178" t="s">
        <v>64</v>
      </c>
      <c r="Q178" t="s">
        <v>52</v>
      </c>
      <c r="R178" t="s">
        <v>53</v>
      </c>
      <c r="S178" t="s">
        <v>32</v>
      </c>
      <c r="T178">
        <v>2</v>
      </c>
      <c r="U178" t="s">
        <v>121</v>
      </c>
      <c r="V178" t="s">
        <v>42</v>
      </c>
      <c r="W178" t="s">
        <v>32</v>
      </c>
      <c r="X178" t="s">
        <v>42</v>
      </c>
      <c r="Y178" t="s">
        <v>122</v>
      </c>
    </row>
    <row r="179" spans="1:25" ht="14.25" customHeight="1" x14ac:dyDescent="0.35">
      <c r="A179" t="s">
        <v>292</v>
      </c>
      <c r="B179">
        <v>18</v>
      </c>
      <c r="C179" t="s">
        <v>26</v>
      </c>
      <c r="D179" t="s">
        <v>27</v>
      </c>
      <c r="E179" t="s">
        <v>28</v>
      </c>
      <c r="F179" t="s">
        <v>29</v>
      </c>
      <c r="G179" t="s">
        <v>87</v>
      </c>
      <c r="H179" t="s">
        <v>107</v>
      </c>
      <c r="I179" t="s">
        <v>32</v>
      </c>
      <c r="J179" t="s">
        <v>57</v>
      </c>
      <c r="K179" t="s">
        <v>34</v>
      </c>
      <c r="L179" t="s">
        <v>35</v>
      </c>
      <c r="M179">
        <v>3</v>
      </c>
      <c r="N179" t="s">
        <v>88</v>
      </c>
      <c r="O179" t="s">
        <v>89</v>
      </c>
      <c r="P179" t="s">
        <v>64</v>
      </c>
      <c r="Q179" t="s">
        <v>59</v>
      </c>
      <c r="R179" t="s">
        <v>40</v>
      </c>
      <c r="S179" t="s">
        <v>32</v>
      </c>
      <c r="T179">
        <v>4</v>
      </c>
      <c r="U179" t="s">
        <v>121</v>
      </c>
      <c r="V179" t="s">
        <v>114</v>
      </c>
      <c r="W179" t="s">
        <v>32</v>
      </c>
      <c r="X179" t="s">
        <v>114</v>
      </c>
      <c r="Y179" t="s">
        <v>122</v>
      </c>
    </row>
    <row r="180" spans="1:25" ht="14.25" customHeight="1" x14ac:dyDescent="0.35">
      <c r="A180" t="s">
        <v>293</v>
      </c>
      <c r="B180">
        <v>42</v>
      </c>
      <c r="C180" t="s">
        <v>45</v>
      </c>
      <c r="D180" t="s">
        <v>27</v>
      </c>
      <c r="E180" t="s">
        <v>28</v>
      </c>
      <c r="F180" t="s">
        <v>68</v>
      </c>
      <c r="G180" t="s">
        <v>72</v>
      </c>
      <c r="H180" t="s">
        <v>48</v>
      </c>
      <c r="I180" t="s">
        <v>32</v>
      </c>
      <c r="J180" t="s">
        <v>57</v>
      </c>
      <c r="K180" t="s">
        <v>34</v>
      </c>
      <c r="L180" t="s">
        <v>50</v>
      </c>
      <c r="M180">
        <v>4</v>
      </c>
      <c r="N180" t="s">
        <v>36</v>
      </c>
      <c r="O180" t="s">
        <v>37</v>
      </c>
      <c r="P180" t="s">
        <v>58</v>
      </c>
      <c r="Q180" t="s">
        <v>59</v>
      </c>
      <c r="R180" t="s">
        <v>40</v>
      </c>
      <c r="S180" t="s">
        <v>74</v>
      </c>
      <c r="T180">
        <v>4</v>
      </c>
      <c r="U180" t="s">
        <v>168</v>
      </c>
      <c r="V180" t="s">
        <v>84</v>
      </c>
      <c r="W180" t="s">
        <v>32</v>
      </c>
      <c r="X180" t="s">
        <v>84</v>
      </c>
      <c r="Y180" t="s">
        <v>76</v>
      </c>
    </row>
    <row r="181" spans="1:25" ht="14.25" customHeight="1" x14ac:dyDescent="0.35">
      <c r="A181" t="s">
        <v>294</v>
      </c>
      <c r="B181">
        <v>40</v>
      </c>
      <c r="C181" t="s">
        <v>45</v>
      </c>
      <c r="D181" t="s">
        <v>27</v>
      </c>
      <c r="E181" t="s">
        <v>28</v>
      </c>
      <c r="F181" t="s">
        <v>68</v>
      </c>
      <c r="G181" t="s">
        <v>47</v>
      </c>
      <c r="H181" t="s">
        <v>48</v>
      </c>
      <c r="I181" t="s">
        <v>32</v>
      </c>
      <c r="J181" t="s">
        <v>79</v>
      </c>
      <c r="K181" t="s">
        <v>34</v>
      </c>
      <c r="L181" t="s">
        <v>35</v>
      </c>
      <c r="M181">
        <v>1</v>
      </c>
      <c r="N181" t="s">
        <v>88</v>
      </c>
      <c r="O181" t="s">
        <v>104</v>
      </c>
      <c r="P181" t="s">
        <v>127</v>
      </c>
      <c r="Q181" t="s">
        <v>94</v>
      </c>
      <c r="R181" t="s">
        <v>101</v>
      </c>
      <c r="S181" t="s">
        <v>32</v>
      </c>
      <c r="T181">
        <v>2</v>
      </c>
      <c r="U181" t="s">
        <v>41</v>
      </c>
      <c r="V181" t="s">
        <v>42</v>
      </c>
      <c r="W181" t="s">
        <v>74</v>
      </c>
      <c r="X181" t="s">
        <v>42</v>
      </c>
      <c r="Y181" t="s">
        <v>43</v>
      </c>
    </row>
    <row r="182" spans="1:25" ht="14.25" customHeight="1" x14ac:dyDescent="0.35">
      <c r="A182" t="s">
        <v>295</v>
      </c>
      <c r="B182">
        <v>16</v>
      </c>
      <c r="C182" t="s">
        <v>26</v>
      </c>
      <c r="D182" t="s">
        <v>27</v>
      </c>
      <c r="E182" t="s">
        <v>55</v>
      </c>
      <c r="F182" t="s">
        <v>29</v>
      </c>
      <c r="G182" t="s">
        <v>87</v>
      </c>
      <c r="H182" t="s">
        <v>31</v>
      </c>
      <c r="I182" t="s">
        <v>32</v>
      </c>
      <c r="J182" t="s">
        <v>57</v>
      </c>
      <c r="K182" t="s">
        <v>34</v>
      </c>
      <c r="L182" t="s">
        <v>50</v>
      </c>
      <c r="M182">
        <v>3</v>
      </c>
      <c r="N182" t="s">
        <v>88</v>
      </c>
      <c r="O182" t="s">
        <v>104</v>
      </c>
      <c r="P182" t="s">
        <v>51</v>
      </c>
      <c r="Q182" t="s">
        <v>65</v>
      </c>
      <c r="R182" t="s">
        <v>101</v>
      </c>
      <c r="S182" t="s">
        <v>74</v>
      </c>
      <c r="T182">
        <v>2</v>
      </c>
      <c r="U182" t="s">
        <v>121</v>
      </c>
      <c r="V182" t="s">
        <v>114</v>
      </c>
      <c r="W182" t="s">
        <v>75</v>
      </c>
      <c r="X182" t="s">
        <v>114</v>
      </c>
      <c r="Y182" t="s">
        <v>76</v>
      </c>
    </row>
    <row r="183" spans="1:25" ht="14.25" customHeight="1" x14ac:dyDescent="0.35">
      <c r="A183" t="s">
        <v>296</v>
      </c>
      <c r="B183">
        <v>14</v>
      </c>
      <c r="C183" t="s">
        <v>26</v>
      </c>
      <c r="D183" t="s">
        <v>27</v>
      </c>
      <c r="E183" t="s">
        <v>55</v>
      </c>
      <c r="F183" t="s">
        <v>181</v>
      </c>
      <c r="G183" t="s">
        <v>30</v>
      </c>
      <c r="H183" t="s">
        <v>31</v>
      </c>
      <c r="I183" t="s">
        <v>32</v>
      </c>
      <c r="J183" t="s">
        <v>92</v>
      </c>
      <c r="K183" t="s">
        <v>34</v>
      </c>
      <c r="L183" t="s">
        <v>50</v>
      </c>
      <c r="M183">
        <v>3</v>
      </c>
      <c r="N183" t="s">
        <v>88</v>
      </c>
      <c r="O183" t="s">
        <v>89</v>
      </c>
      <c r="P183" t="s">
        <v>51</v>
      </c>
      <c r="Q183" t="s">
        <v>52</v>
      </c>
      <c r="R183" t="s">
        <v>101</v>
      </c>
      <c r="S183" t="s">
        <v>74</v>
      </c>
      <c r="T183">
        <v>3</v>
      </c>
      <c r="U183" t="s">
        <v>41</v>
      </c>
      <c r="V183" t="s">
        <v>42</v>
      </c>
      <c r="W183" t="s">
        <v>74</v>
      </c>
      <c r="X183" t="s">
        <v>42</v>
      </c>
      <c r="Y183" t="s">
        <v>76</v>
      </c>
    </row>
    <row r="184" spans="1:25" ht="14.25" customHeight="1" x14ac:dyDescent="0.35">
      <c r="A184" t="s">
        <v>297</v>
      </c>
      <c r="B184">
        <v>44</v>
      </c>
      <c r="C184" t="s">
        <v>45</v>
      </c>
      <c r="D184" t="s">
        <v>27</v>
      </c>
      <c r="E184" t="s">
        <v>28</v>
      </c>
      <c r="F184" t="s">
        <v>29</v>
      </c>
      <c r="G184" t="s">
        <v>87</v>
      </c>
      <c r="H184" t="s">
        <v>48</v>
      </c>
      <c r="I184" t="s">
        <v>32</v>
      </c>
      <c r="J184" t="s">
        <v>92</v>
      </c>
      <c r="K184" t="s">
        <v>34</v>
      </c>
      <c r="L184" t="s">
        <v>35</v>
      </c>
      <c r="M184">
        <v>4</v>
      </c>
      <c r="N184" t="s">
        <v>93</v>
      </c>
      <c r="O184" t="s">
        <v>142</v>
      </c>
      <c r="P184" t="s">
        <v>51</v>
      </c>
      <c r="Q184" t="s">
        <v>94</v>
      </c>
      <c r="R184" t="s">
        <v>53</v>
      </c>
      <c r="S184" t="s">
        <v>32</v>
      </c>
      <c r="T184">
        <v>2</v>
      </c>
      <c r="U184" t="s">
        <v>90</v>
      </c>
      <c r="V184" t="s">
        <v>84</v>
      </c>
      <c r="W184" t="s">
        <v>74</v>
      </c>
      <c r="X184" t="s">
        <v>84</v>
      </c>
      <c r="Y184" t="s">
        <v>108</v>
      </c>
    </row>
    <row r="185" spans="1:25" ht="14.25" customHeight="1" x14ac:dyDescent="0.35">
      <c r="A185" t="s">
        <v>298</v>
      </c>
      <c r="B185">
        <v>44</v>
      </c>
      <c r="C185" t="s">
        <v>45</v>
      </c>
      <c r="D185" t="s">
        <v>27</v>
      </c>
      <c r="E185" t="s">
        <v>33</v>
      </c>
      <c r="F185" t="s">
        <v>29</v>
      </c>
      <c r="G185" t="s">
        <v>30</v>
      </c>
      <c r="H185" t="s">
        <v>119</v>
      </c>
      <c r="I185" t="s">
        <v>32</v>
      </c>
      <c r="J185" t="s">
        <v>49</v>
      </c>
      <c r="K185" t="s">
        <v>34</v>
      </c>
      <c r="L185" t="s">
        <v>50</v>
      </c>
      <c r="M185">
        <v>4</v>
      </c>
      <c r="N185" t="s">
        <v>88</v>
      </c>
      <c r="O185" t="s">
        <v>89</v>
      </c>
      <c r="P185" t="s">
        <v>51</v>
      </c>
      <c r="Q185" t="s">
        <v>94</v>
      </c>
      <c r="R185" t="s">
        <v>116</v>
      </c>
      <c r="S185" t="s">
        <v>32</v>
      </c>
      <c r="T185">
        <v>1</v>
      </c>
      <c r="U185" t="s">
        <v>41</v>
      </c>
      <c r="V185" t="s">
        <v>42</v>
      </c>
      <c r="W185" t="s">
        <v>75</v>
      </c>
      <c r="X185" t="s">
        <v>42</v>
      </c>
      <c r="Y185" t="s">
        <v>43</v>
      </c>
    </row>
    <row r="186" spans="1:25" ht="14.25" customHeight="1" x14ac:dyDescent="0.35">
      <c r="A186" t="s">
        <v>299</v>
      </c>
      <c r="B186">
        <v>52</v>
      </c>
      <c r="C186" t="s">
        <v>63</v>
      </c>
      <c r="D186" t="s">
        <v>27</v>
      </c>
      <c r="E186" t="s">
        <v>78</v>
      </c>
      <c r="F186" t="s">
        <v>46</v>
      </c>
      <c r="G186" t="s">
        <v>30</v>
      </c>
      <c r="H186" t="s">
        <v>48</v>
      </c>
      <c r="I186" t="s">
        <v>32</v>
      </c>
      <c r="J186" t="s">
        <v>57</v>
      </c>
      <c r="K186" t="s">
        <v>34</v>
      </c>
      <c r="L186" t="s">
        <v>50</v>
      </c>
      <c r="M186">
        <v>3</v>
      </c>
      <c r="N186" t="s">
        <v>36</v>
      </c>
      <c r="O186" t="s">
        <v>37</v>
      </c>
      <c r="P186" t="s">
        <v>64</v>
      </c>
      <c r="Q186" t="s">
        <v>65</v>
      </c>
      <c r="R186" t="s">
        <v>101</v>
      </c>
      <c r="S186" t="s">
        <v>32</v>
      </c>
      <c r="T186">
        <v>1</v>
      </c>
      <c r="U186" t="s">
        <v>60</v>
      </c>
      <c r="V186" t="s">
        <v>42</v>
      </c>
      <c r="W186" t="s">
        <v>32</v>
      </c>
      <c r="X186" t="s">
        <v>42</v>
      </c>
      <c r="Y186" t="s">
        <v>61</v>
      </c>
    </row>
    <row r="187" spans="1:25" ht="14.25" customHeight="1" x14ac:dyDescent="0.35">
      <c r="A187" t="s">
        <v>300</v>
      </c>
      <c r="B187">
        <v>15</v>
      </c>
      <c r="C187" t="s">
        <v>26</v>
      </c>
      <c r="D187" t="s">
        <v>27</v>
      </c>
      <c r="E187" t="s">
        <v>28</v>
      </c>
      <c r="F187" t="s">
        <v>181</v>
      </c>
      <c r="G187" t="s">
        <v>30</v>
      </c>
      <c r="H187" t="s">
        <v>31</v>
      </c>
      <c r="I187" t="s">
        <v>32</v>
      </c>
      <c r="J187" t="s">
        <v>57</v>
      </c>
      <c r="K187" t="s">
        <v>34</v>
      </c>
      <c r="L187" t="s">
        <v>35</v>
      </c>
      <c r="M187">
        <v>5</v>
      </c>
      <c r="N187" t="s">
        <v>36</v>
      </c>
      <c r="O187" t="s">
        <v>37</v>
      </c>
      <c r="P187" t="s">
        <v>64</v>
      </c>
      <c r="Q187" t="s">
        <v>52</v>
      </c>
      <c r="R187" t="s">
        <v>53</v>
      </c>
      <c r="S187" t="s">
        <v>74</v>
      </c>
      <c r="T187">
        <v>3</v>
      </c>
      <c r="U187" t="s">
        <v>121</v>
      </c>
      <c r="V187" t="s">
        <v>42</v>
      </c>
      <c r="W187" t="s">
        <v>32</v>
      </c>
      <c r="X187" t="s">
        <v>42</v>
      </c>
      <c r="Y187" t="s">
        <v>76</v>
      </c>
    </row>
    <row r="188" spans="1:25" ht="14.25" customHeight="1" x14ac:dyDescent="0.35">
      <c r="A188" t="s">
        <v>301</v>
      </c>
      <c r="B188">
        <v>19</v>
      </c>
      <c r="C188" t="s">
        <v>26</v>
      </c>
      <c r="D188" t="s">
        <v>27</v>
      </c>
      <c r="E188" t="s">
        <v>55</v>
      </c>
      <c r="F188" t="s">
        <v>56</v>
      </c>
      <c r="G188" t="s">
        <v>30</v>
      </c>
      <c r="H188" t="s">
        <v>107</v>
      </c>
      <c r="I188" t="s">
        <v>32</v>
      </c>
      <c r="J188" t="s">
        <v>92</v>
      </c>
      <c r="K188" t="s">
        <v>34</v>
      </c>
      <c r="L188" t="s">
        <v>50</v>
      </c>
      <c r="M188">
        <v>3</v>
      </c>
      <c r="N188" t="s">
        <v>88</v>
      </c>
      <c r="O188" t="s">
        <v>104</v>
      </c>
      <c r="P188" t="s">
        <v>64</v>
      </c>
      <c r="Q188" t="s">
        <v>52</v>
      </c>
      <c r="R188" t="s">
        <v>116</v>
      </c>
      <c r="S188" t="s">
        <v>32</v>
      </c>
      <c r="T188">
        <v>3</v>
      </c>
      <c r="U188" t="s">
        <v>90</v>
      </c>
      <c r="V188" t="s">
        <v>98</v>
      </c>
      <c r="W188" t="s">
        <v>74</v>
      </c>
      <c r="X188" t="s">
        <v>98</v>
      </c>
      <c r="Y188" t="s">
        <v>108</v>
      </c>
    </row>
    <row r="189" spans="1:25" ht="14.25" customHeight="1" x14ac:dyDescent="0.35">
      <c r="A189" t="s">
        <v>302</v>
      </c>
      <c r="B189">
        <v>13</v>
      </c>
      <c r="C189" t="s">
        <v>26</v>
      </c>
      <c r="D189" t="s">
        <v>27</v>
      </c>
      <c r="E189" t="s">
        <v>55</v>
      </c>
      <c r="F189" t="s">
        <v>68</v>
      </c>
      <c r="G189" t="s">
        <v>87</v>
      </c>
      <c r="H189" t="s">
        <v>31</v>
      </c>
      <c r="I189" t="s">
        <v>32</v>
      </c>
      <c r="J189" t="s">
        <v>92</v>
      </c>
      <c r="K189" t="s">
        <v>34</v>
      </c>
      <c r="L189" t="s">
        <v>103</v>
      </c>
      <c r="M189">
        <v>2</v>
      </c>
      <c r="N189" t="s">
        <v>88</v>
      </c>
      <c r="O189" t="s">
        <v>104</v>
      </c>
      <c r="P189" t="s">
        <v>51</v>
      </c>
      <c r="Q189" t="s">
        <v>52</v>
      </c>
      <c r="R189" t="s">
        <v>101</v>
      </c>
      <c r="S189" t="s">
        <v>74</v>
      </c>
      <c r="T189">
        <v>3</v>
      </c>
      <c r="U189" t="s">
        <v>90</v>
      </c>
      <c r="V189" t="s">
        <v>84</v>
      </c>
      <c r="W189" t="s">
        <v>74</v>
      </c>
      <c r="X189" t="s">
        <v>84</v>
      </c>
      <c r="Y189" t="s">
        <v>76</v>
      </c>
    </row>
    <row r="190" spans="1:25" ht="14.25" customHeight="1" x14ac:dyDescent="0.35">
      <c r="A190" t="s">
        <v>303</v>
      </c>
      <c r="B190">
        <v>49</v>
      </c>
      <c r="C190" t="s">
        <v>45</v>
      </c>
      <c r="D190" t="s">
        <v>27</v>
      </c>
      <c r="E190" t="s">
        <v>28</v>
      </c>
      <c r="F190" t="s">
        <v>181</v>
      </c>
      <c r="G190" t="s">
        <v>30</v>
      </c>
      <c r="H190" t="s">
        <v>48</v>
      </c>
      <c r="I190" t="s">
        <v>32</v>
      </c>
      <c r="J190" t="s">
        <v>49</v>
      </c>
      <c r="K190" t="s">
        <v>34</v>
      </c>
      <c r="L190" t="s">
        <v>35</v>
      </c>
      <c r="M190">
        <v>5</v>
      </c>
      <c r="N190" t="s">
        <v>88</v>
      </c>
      <c r="O190" t="s">
        <v>104</v>
      </c>
      <c r="P190" t="s">
        <v>64</v>
      </c>
      <c r="Q190" t="s">
        <v>65</v>
      </c>
      <c r="R190" t="s">
        <v>53</v>
      </c>
      <c r="S190" t="s">
        <v>32</v>
      </c>
      <c r="T190">
        <v>2</v>
      </c>
      <c r="U190" t="s">
        <v>41</v>
      </c>
      <c r="V190" t="s">
        <v>42</v>
      </c>
      <c r="W190" t="s">
        <v>75</v>
      </c>
      <c r="X190" t="s">
        <v>42</v>
      </c>
      <c r="Y190" t="s">
        <v>43</v>
      </c>
    </row>
    <row r="191" spans="1:25" ht="14.25" customHeight="1" x14ac:dyDescent="0.35">
      <c r="A191" t="s">
        <v>304</v>
      </c>
      <c r="B191">
        <v>45</v>
      </c>
      <c r="C191" t="s">
        <v>45</v>
      </c>
      <c r="D191" t="s">
        <v>27</v>
      </c>
      <c r="E191" t="s">
        <v>78</v>
      </c>
      <c r="F191" t="s">
        <v>46</v>
      </c>
      <c r="G191" t="s">
        <v>47</v>
      </c>
      <c r="H191" t="s">
        <v>48</v>
      </c>
      <c r="I191" t="s">
        <v>32</v>
      </c>
      <c r="J191" t="s">
        <v>92</v>
      </c>
      <c r="K191" t="s">
        <v>80</v>
      </c>
      <c r="L191" t="s">
        <v>80</v>
      </c>
      <c r="M191">
        <v>0</v>
      </c>
      <c r="N191" t="s">
        <v>81</v>
      </c>
      <c r="O191" t="s">
        <v>81</v>
      </c>
      <c r="P191" t="s">
        <v>81</v>
      </c>
      <c r="Q191" t="s">
        <v>81</v>
      </c>
      <c r="R191" t="s">
        <v>81</v>
      </c>
      <c r="S191" t="s">
        <v>74</v>
      </c>
      <c r="T191" t="s">
        <v>82</v>
      </c>
      <c r="U191" t="s">
        <v>147</v>
      </c>
      <c r="V191" t="s">
        <v>132</v>
      </c>
      <c r="W191" t="s">
        <v>75</v>
      </c>
      <c r="X191" t="s">
        <v>132</v>
      </c>
      <c r="Y191" t="s">
        <v>148</v>
      </c>
    </row>
    <row r="192" spans="1:25" ht="14.25" customHeight="1" x14ac:dyDescent="0.35">
      <c r="A192" t="s">
        <v>305</v>
      </c>
      <c r="B192">
        <v>20</v>
      </c>
      <c r="C192" t="s">
        <v>106</v>
      </c>
      <c r="D192" t="s">
        <v>27</v>
      </c>
      <c r="E192" t="s">
        <v>28</v>
      </c>
      <c r="F192" t="s">
        <v>181</v>
      </c>
      <c r="G192" t="s">
        <v>30</v>
      </c>
      <c r="H192" t="s">
        <v>107</v>
      </c>
      <c r="I192" t="s">
        <v>32</v>
      </c>
      <c r="J192" t="s">
        <v>79</v>
      </c>
      <c r="K192" t="s">
        <v>80</v>
      </c>
      <c r="L192" t="s">
        <v>80</v>
      </c>
      <c r="M192">
        <v>0</v>
      </c>
      <c r="N192" t="s">
        <v>81</v>
      </c>
      <c r="O192" t="s">
        <v>81</v>
      </c>
      <c r="P192" t="s">
        <v>81</v>
      </c>
      <c r="Q192" t="s">
        <v>81</v>
      </c>
      <c r="R192" t="s">
        <v>81</v>
      </c>
      <c r="S192" t="s">
        <v>74</v>
      </c>
      <c r="T192" t="s">
        <v>82</v>
      </c>
      <c r="U192" t="s">
        <v>90</v>
      </c>
      <c r="V192" t="s">
        <v>42</v>
      </c>
      <c r="W192" t="s">
        <v>75</v>
      </c>
      <c r="X192" t="s">
        <v>42</v>
      </c>
      <c r="Y192" t="s">
        <v>124</v>
      </c>
    </row>
    <row r="193" spans="1:25" ht="14.25" customHeight="1" x14ac:dyDescent="0.35">
      <c r="A193" t="s">
        <v>306</v>
      </c>
      <c r="B193">
        <v>18</v>
      </c>
      <c r="C193" t="s">
        <v>26</v>
      </c>
      <c r="D193" t="s">
        <v>27</v>
      </c>
      <c r="E193" t="s">
        <v>55</v>
      </c>
      <c r="F193" t="s">
        <v>68</v>
      </c>
      <c r="G193" t="s">
        <v>30</v>
      </c>
      <c r="H193" t="s">
        <v>107</v>
      </c>
      <c r="I193" t="s">
        <v>32</v>
      </c>
      <c r="J193" t="s">
        <v>57</v>
      </c>
      <c r="K193" t="s">
        <v>34</v>
      </c>
      <c r="L193" t="s">
        <v>50</v>
      </c>
      <c r="M193">
        <v>3</v>
      </c>
      <c r="N193" t="s">
        <v>88</v>
      </c>
      <c r="O193" t="s">
        <v>104</v>
      </c>
      <c r="P193" t="s">
        <v>64</v>
      </c>
      <c r="Q193" t="s">
        <v>65</v>
      </c>
      <c r="R193" t="s">
        <v>116</v>
      </c>
      <c r="S193" t="s">
        <v>74</v>
      </c>
      <c r="T193">
        <v>1</v>
      </c>
      <c r="U193" t="s">
        <v>60</v>
      </c>
      <c r="V193" t="s">
        <v>98</v>
      </c>
      <c r="W193" t="s">
        <v>32</v>
      </c>
      <c r="X193" t="s">
        <v>98</v>
      </c>
      <c r="Y193" t="s">
        <v>76</v>
      </c>
    </row>
    <row r="194" spans="1:25" ht="14.25" customHeight="1" x14ac:dyDescent="0.35">
      <c r="A194" t="s">
        <v>307</v>
      </c>
      <c r="B194">
        <v>48</v>
      </c>
      <c r="C194" t="s">
        <v>45</v>
      </c>
      <c r="D194" t="s">
        <v>27</v>
      </c>
      <c r="E194" t="s">
        <v>118</v>
      </c>
      <c r="F194" t="s">
        <v>181</v>
      </c>
      <c r="G194" t="s">
        <v>87</v>
      </c>
      <c r="H194" t="s">
        <v>119</v>
      </c>
      <c r="I194" t="s">
        <v>32</v>
      </c>
      <c r="J194" t="s">
        <v>57</v>
      </c>
      <c r="K194" t="s">
        <v>34</v>
      </c>
      <c r="L194" t="s">
        <v>103</v>
      </c>
      <c r="M194">
        <v>4</v>
      </c>
      <c r="N194" t="s">
        <v>88</v>
      </c>
      <c r="O194" t="s">
        <v>104</v>
      </c>
      <c r="P194" t="s">
        <v>64</v>
      </c>
      <c r="Q194" t="s">
        <v>52</v>
      </c>
      <c r="R194" t="s">
        <v>40</v>
      </c>
      <c r="S194" t="s">
        <v>32</v>
      </c>
      <c r="T194">
        <v>3</v>
      </c>
      <c r="U194" t="s">
        <v>41</v>
      </c>
      <c r="V194" t="s">
        <v>114</v>
      </c>
      <c r="W194" t="s">
        <v>32</v>
      </c>
      <c r="X194" t="s">
        <v>114</v>
      </c>
      <c r="Y194" t="s">
        <v>43</v>
      </c>
    </row>
    <row r="195" spans="1:25" ht="14.25" customHeight="1" x14ac:dyDescent="0.35">
      <c r="A195" t="s">
        <v>308</v>
      </c>
      <c r="B195">
        <v>14</v>
      </c>
      <c r="C195" t="s">
        <v>26</v>
      </c>
      <c r="D195" t="s">
        <v>27</v>
      </c>
      <c r="E195" t="s">
        <v>55</v>
      </c>
      <c r="F195" t="s">
        <v>68</v>
      </c>
      <c r="G195" t="s">
        <v>87</v>
      </c>
      <c r="H195" t="s">
        <v>31</v>
      </c>
      <c r="I195" t="s">
        <v>74</v>
      </c>
      <c r="J195" t="s">
        <v>96</v>
      </c>
      <c r="K195" t="s">
        <v>80</v>
      </c>
      <c r="L195" t="s">
        <v>80</v>
      </c>
      <c r="M195">
        <v>0</v>
      </c>
      <c r="N195" t="s">
        <v>81</v>
      </c>
      <c r="O195" t="s">
        <v>81</v>
      </c>
      <c r="P195" t="s">
        <v>81</v>
      </c>
      <c r="Q195" t="s">
        <v>81</v>
      </c>
      <c r="R195" t="s">
        <v>81</v>
      </c>
      <c r="S195" t="s">
        <v>74</v>
      </c>
      <c r="T195" t="s">
        <v>82</v>
      </c>
      <c r="U195" t="s">
        <v>97</v>
      </c>
      <c r="V195" t="s">
        <v>84</v>
      </c>
      <c r="W195" t="s">
        <v>74</v>
      </c>
      <c r="X195" t="s">
        <v>84</v>
      </c>
      <c r="Y195" t="s">
        <v>99</v>
      </c>
    </row>
    <row r="196" spans="1:25" ht="14.25" customHeight="1" x14ac:dyDescent="0.35">
      <c r="A196" t="s">
        <v>309</v>
      </c>
      <c r="B196">
        <v>29</v>
      </c>
      <c r="C196" t="s">
        <v>106</v>
      </c>
      <c r="D196" t="s">
        <v>27</v>
      </c>
      <c r="E196" t="s">
        <v>28</v>
      </c>
      <c r="F196" t="s">
        <v>29</v>
      </c>
      <c r="G196" t="s">
        <v>30</v>
      </c>
      <c r="H196" t="s">
        <v>107</v>
      </c>
      <c r="I196" t="s">
        <v>74</v>
      </c>
      <c r="J196" t="s">
        <v>96</v>
      </c>
      <c r="K196" t="s">
        <v>80</v>
      </c>
      <c r="L196" t="s">
        <v>80</v>
      </c>
      <c r="M196">
        <v>0</v>
      </c>
      <c r="N196" t="s">
        <v>81</v>
      </c>
      <c r="O196" t="s">
        <v>81</v>
      </c>
      <c r="P196" t="s">
        <v>81</v>
      </c>
      <c r="Q196" t="s">
        <v>81</v>
      </c>
      <c r="R196" t="s">
        <v>81</v>
      </c>
      <c r="S196" t="s">
        <v>74</v>
      </c>
      <c r="T196" t="s">
        <v>82</v>
      </c>
      <c r="U196" t="s">
        <v>97</v>
      </c>
      <c r="V196" t="s">
        <v>84</v>
      </c>
      <c r="W196" t="s">
        <v>75</v>
      </c>
      <c r="X196" t="s">
        <v>84</v>
      </c>
      <c r="Y196" t="s">
        <v>99</v>
      </c>
    </row>
    <row r="197" spans="1:25" ht="14.25" customHeight="1" x14ac:dyDescent="0.35">
      <c r="A197" t="s">
        <v>310</v>
      </c>
      <c r="B197">
        <v>55</v>
      </c>
      <c r="C197" t="s">
        <v>63</v>
      </c>
      <c r="D197" t="s">
        <v>27</v>
      </c>
      <c r="E197" t="s">
        <v>118</v>
      </c>
      <c r="F197" t="s">
        <v>29</v>
      </c>
      <c r="G197" t="s">
        <v>87</v>
      </c>
      <c r="H197" t="s">
        <v>48</v>
      </c>
      <c r="I197" t="s">
        <v>32</v>
      </c>
      <c r="J197" t="s">
        <v>79</v>
      </c>
      <c r="K197" t="s">
        <v>80</v>
      </c>
      <c r="L197" t="s">
        <v>80</v>
      </c>
      <c r="M197">
        <v>0</v>
      </c>
      <c r="N197" t="s">
        <v>81</v>
      </c>
      <c r="O197" t="s">
        <v>81</v>
      </c>
      <c r="P197" t="s">
        <v>81</v>
      </c>
      <c r="Q197" t="s">
        <v>81</v>
      </c>
      <c r="R197" t="s">
        <v>81</v>
      </c>
      <c r="S197" t="s">
        <v>74</v>
      </c>
      <c r="T197" t="s">
        <v>82</v>
      </c>
      <c r="U197" t="s">
        <v>90</v>
      </c>
      <c r="V197" t="s">
        <v>114</v>
      </c>
      <c r="W197" t="s">
        <v>74</v>
      </c>
      <c r="X197" t="s">
        <v>114</v>
      </c>
      <c r="Y197" t="s">
        <v>124</v>
      </c>
    </row>
    <row r="198" spans="1:25" ht="14.25" customHeight="1" x14ac:dyDescent="0.35">
      <c r="A198" t="s">
        <v>311</v>
      </c>
      <c r="B198">
        <v>14</v>
      </c>
      <c r="C198" t="s">
        <v>26</v>
      </c>
      <c r="D198" t="s">
        <v>27</v>
      </c>
      <c r="E198" t="s">
        <v>55</v>
      </c>
      <c r="F198" t="s">
        <v>29</v>
      </c>
      <c r="G198" t="s">
        <v>87</v>
      </c>
      <c r="H198" t="s">
        <v>31</v>
      </c>
      <c r="I198" t="s">
        <v>32</v>
      </c>
      <c r="J198" t="s">
        <v>33</v>
      </c>
      <c r="K198" t="s">
        <v>34</v>
      </c>
      <c r="L198" t="s">
        <v>50</v>
      </c>
      <c r="M198">
        <v>4</v>
      </c>
      <c r="N198" t="s">
        <v>88</v>
      </c>
      <c r="O198" t="s">
        <v>89</v>
      </c>
      <c r="P198" t="s">
        <v>64</v>
      </c>
      <c r="Q198" t="s">
        <v>59</v>
      </c>
      <c r="R198" t="s">
        <v>53</v>
      </c>
      <c r="S198" t="s">
        <v>74</v>
      </c>
      <c r="T198">
        <v>2</v>
      </c>
      <c r="U198" t="s">
        <v>90</v>
      </c>
      <c r="V198" t="s">
        <v>42</v>
      </c>
      <c r="W198" t="s">
        <v>75</v>
      </c>
      <c r="X198" t="s">
        <v>42</v>
      </c>
      <c r="Y198" t="s">
        <v>76</v>
      </c>
    </row>
    <row r="199" spans="1:25" ht="14.25" customHeight="1" x14ac:dyDescent="0.35">
      <c r="A199" t="s">
        <v>312</v>
      </c>
      <c r="B199">
        <v>34</v>
      </c>
      <c r="C199" t="s">
        <v>67</v>
      </c>
      <c r="D199" t="s">
        <v>27</v>
      </c>
      <c r="E199" t="s">
        <v>28</v>
      </c>
      <c r="F199" t="s">
        <v>56</v>
      </c>
      <c r="G199" t="s">
        <v>30</v>
      </c>
      <c r="H199" t="s">
        <v>48</v>
      </c>
      <c r="I199" t="s">
        <v>32</v>
      </c>
      <c r="J199" t="s">
        <v>49</v>
      </c>
      <c r="K199" t="s">
        <v>34</v>
      </c>
      <c r="L199" t="s">
        <v>50</v>
      </c>
      <c r="M199">
        <v>3</v>
      </c>
      <c r="N199" t="s">
        <v>88</v>
      </c>
      <c r="O199" t="s">
        <v>89</v>
      </c>
      <c r="P199" t="s">
        <v>51</v>
      </c>
      <c r="Q199" t="s">
        <v>94</v>
      </c>
      <c r="R199" t="s">
        <v>101</v>
      </c>
      <c r="S199" t="s">
        <v>74</v>
      </c>
      <c r="T199">
        <v>1</v>
      </c>
      <c r="U199" t="s">
        <v>121</v>
      </c>
      <c r="V199" t="s">
        <v>42</v>
      </c>
      <c r="W199" t="s">
        <v>32</v>
      </c>
      <c r="X199" t="s">
        <v>42</v>
      </c>
      <c r="Y199" t="s">
        <v>76</v>
      </c>
    </row>
    <row r="200" spans="1:25" ht="14.25" customHeight="1" x14ac:dyDescent="0.35">
      <c r="A200" t="s">
        <v>313</v>
      </c>
      <c r="B200">
        <v>57</v>
      </c>
      <c r="C200" t="s">
        <v>63</v>
      </c>
      <c r="D200" t="s">
        <v>27</v>
      </c>
      <c r="E200" t="s">
        <v>33</v>
      </c>
      <c r="F200" t="s">
        <v>68</v>
      </c>
      <c r="G200" t="s">
        <v>47</v>
      </c>
      <c r="H200" t="s">
        <v>119</v>
      </c>
      <c r="I200" t="s">
        <v>74</v>
      </c>
      <c r="J200" t="s">
        <v>96</v>
      </c>
      <c r="K200" t="s">
        <v>80</v>
      </c>
      <c r="L200" t="s">
        <v>80</v>
      </c>
      <c r="M200">
        <v>0</v>
      </c>
      <c r="N200" t="s">
        <v>81</v>
      </c>
      <c r="O200" t="s">
        <v>81</v>
      </c>
      <c r="P200" t="s">
        <v>81</v>
      </c>
      <c r="Q200" t="s">
        <v>81</v>
      </c>
      <c r="R200" t="s">
        <v>81</v>
      </c>
      <c r="S200" t="s">
        <v>74</v>
      </c>
      <c r="T200" t="s">
        <v>82</v>
      </c>
      <c r="U200" t="s">
        <v>97</v>
      </c>
      <c r="V200" t="s">
        <v>98</v>
      </c>
      <c r="W200" t="s">
        <v>75</v>
      </c>
      <c r="X200" t="s">
        <v>98</v>
      </c>
      <c r="Y200" t="s">
        <v>99</v>
      </c>
    </row>
    <row r="201" spans="1:25" ht="14.25" customHeight="1" x14ac:dyDescent="0.35">
      <c r="A201" t="s">
        <v>314</v>
      </c>
      <c r="B201">
        <v>14</v>
      </c>
      <c r="C201" t="s">
        <v>26</v>
      </c>
      <c r="D201" t="s">
        <v>27</v>
      </c>
      <c r="E201" t="s">
        <v>28</v>
      </c>
      <c r="F201" t="s">
        <v>68</v>
      </c>
      <c r="G201" t="s">
        <v>30</v>
      </c>
      <c r="H201" t="s">
        <v>31</v>
      </c>
      <c r="I201" t="s">
        <v>32</v>
      </c>
      <c r="J201" t="s">
        <v>79</v>
      </c>
      <c r="K201" t="s">
        <v>34</v>
      </c>
      <c r="L201" t="s">
        <v>50</v>
      </c>
      <c r="M201">
        <v>4</v>
      </c>
      <c r="N201" t="s">
        <v>93</v>
      </c>
      <c r="O201" t="s">
        <v>142</v>
      </c>
      <c r="P201" t="s">
        <v>127</v>
      </c>
      <c r="Q201" t="s">
        <v>94</v>
      </c>
      <c r="R201" t="s">
        <v>116</v>
      </c>
      <c r="S201" t="s">
        <v>32</v>
      </c>
      <c r="T201">
        <v>1</v>
      </c>
      <c r="U201" t="s">
        <v>90</v>
      </c>
      <c r="V201" t="s">
        <v>84</v>
      </c>
      <c r="W201" t="s">
        <v>74</v>
      </c>
      <c r="X201" t="s">
        <v>84</v>
      </c>
      <c r="Y201" t="s">
        <v>108</v>
      </c>
    </row>
    <row r="202" spans="1:25" ht="14.25" customHeight="1" x14ac:dyDescent="0.35"/>
    <row r="203" spans="1:25" ht="14.25" customHeight="1" x14ac:dyDescent="0.35"/>
    <row r="204" spans="1:25" ht="14.25" customHeight="1" x14ac:dyDescent="0.35"/>
    <row r="205" spans="1:25" ht="14.25" customHeight="1" x14ac:dyDescent="0.35"/>
    <row r="206" spans="1:25" ht="14.25" customHeight="1" x14ac:dyDescent="0.35"/>
    <row r="207" spans="1:25" ht="14.25" customHeight="1" x14ac:dyDescent="0.35"/>
    <row r="208" spans="1:25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</sheetPr>
  <dimension ref="A1:Z1000"/>
  <sheetViews>
    <sheetView tabSelected="1" zoomScaleNormal="100" workbookViewId="0"/>
  </sheetViews>
  <sheetFormatPr defaultColWidth="14.453125" defaultRowHeight="14.5" x14ac:dyDescent="0.35"/>
  <cols>
    <col min="1" max="8" width="14.54296875" customWidth="1"/>
    <col min="9" max="9" width="23.26953125" customWidth="1"/>
    <col min="10" max="10" width="21.7265625" customWidth="1"/>
    <col min="11" max="20" width="14.54296875" customWidth="1"/>
    <col min="21" max="21" width="23.54296875" customWidth="1"/>
    <col min="22" max="24" width="14.54296875" customWidth="1"/>
    <col min="25" max="25" width="27.1796875" customWidth="1"/>
    <col min="26" max="26" width="14.54296875" customWidth="1"/>
  </cols>
  <sheetData>
    <row r="1" spans="1:26" ht="14.2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/>
    </row>
    <row r="2" spans="1:26" ht="14.25" customHeight="1" x14ac:dyDescent="0.35">
      <c r="A2" s="16" t="s">
        <v>25</v>
      </c>
      <c r="B2" s="16">
        <v>15</v>
      </c>
      <c r="C2" s="16" t="s">
        <v>315</v>
      </c>
      <c r="D2" s="16" t="s">
        <v>27</v>
      </c>
      <c r="E2" s="16" t="s">
        <v>28</v>
      </c>
      <c r="F2" s="16" t="s">
        <v>29</v>
      </c>
      <c r="G2" s="16" t="s">
        <v>30</v>
      </c>
      <c r="H2" s="16" t="s">
        <v>31</v>
      </c>
      <c r="I2" s="16" t="s">
        <v>32</v>
      </c>
      <c r="J2" s="16" t="s">
        <v>33</v>
      </c>
      <c r="K2" s="16" t="s">
        <v>34</v>
      </c>
      <c r="L2" s="16" t="s">
        <v>35</v>
      </c>
      <c r="M2" s="16">
        <v>3</v>
      </c>
      <c r="N2" s="16" t="s">
        <v>36</v>
      </c>
      <c r="O2" s="16" t="s">
        <v>37</v>
      </c>
      <c r="P2" s="16" t="s">
        <v>38</v>
      </c>
      <c r="Q2" s="16" t="s">
        <v>39</v>
      </c>
      <c r="R2" s="16" t="s">
        <v>40</v>
      </c>
      <c r="S2" s="16" t="s">
        <v>32</v>
      </c>
      <c r="T2" s="16">
        <v>5</v>
      </c>
      <c r="U2" s="16" t="s">
        <v>41</v>
      </c>
      <c r="V2" s="16" t="s">
        <v>42</v>
      </c>
      <c r="W2" s="16" t="s">
        <v>32</v>
      </c>
      <c r="X2" s="16" t="s">
        <v>42</v>
      </c>
      <c r="Y2" s="16" t="s">
        <v>43</v>
      </c>
      <c r="Z2" s="16"/>
    </row>
    <row r="3" spans="1:26" ht="14.25" customHeight="1" x14ac:dyDescent="0.35">
      <c r="A3" s="16" t="s">
        <v>44</v>
      </c>
      <c r="B3" s="16">
        <v>40</v>
      </c>
      <c r="C3" s="16" t="s">
        <v>316</v>
      </c>
      <c r="D3" s="16" t="s">
        <v>27</v>
      </c>
      <c r="E3" s="16" t="s">
        <v>33</v>
      </c>
      <c r="F3" s="16" t="s">
        <v>46</v>
      </c>
      <c r="G3" s="16" t="s">
        <v>47</v>
      </c>
      <c r="H3" s="16" t="s">
        <v>48</v>
      </c>
      <c r="I3" s="16" t="s">
        <v>32</v>
      </c>
      <c r="J3" s="16" t="s">
        <v>49</v>
      </c>
      <c r="K3" s="16" t="s">
        <v>34</v>
      </c>
      <c r="L3" s="16" t="s">
        <v>50</v>
      </c>
      <c r="M3" s="16">
        <v>4</v>
      </c>
      <c r="N3" s="16" t="s">
        <v>36</v>
      </c>
      <c r="O3" s="16" t="s">
        <v>37</v>
      </c>
      <c r="P3" s="16" t="s">
        <v>51</v>
      </c>
      <c r="Q3" s="16" t="s">
        <v>52</v>
      </c>
      <c r="R3" s="16" t="s">
        <v>53</v>
      </c>
      <c r="S3" s="16" t="s">
        <v>32</v>
      </c>
      <c r="T3" s="16">
        <v>2</v>
      </c>
      <c r="U3" s="16" t="s">
        <v>41</v>
      </c>
      <c r="V3" s="16" t="s">
        <v>42</v>
      </c>
      <c r="W3" s="16" t="s">
        <v>32</v>
      </c>
      <c r="X3" s="16" t="s">
        <v>42</v>
      </c>
      <c r="Y3" s="16" t="s">
        <v>43</v>
      </c>
      <c r="Z3" s="16"/>
    </row>
    <row r="4" spans="1:26" ht="14.25" customHeight="1" x14ac:dyDescent="0.35">
      <c r="A4" s="16" t="s">
        <v>54</v>
      </c>
      <c r="B4" s="16">
        <v>16</v>
      </c>
      <c r="C4" s="16" t="s">
        <v>315</v>
      </c>
      <c r="D4" s="16" t="s">
        <v>27</v>
      </c>
      <c r="E4" s="16" t="s">
        <v>55</v>
      </c>
      <c r="F4" s="16" t="s">
        <v>56</v>
      </c>
      <c r="G4" s="16" t="s">
        <v>47</v>
      </c>
      <c r="H4" s="16" t="s">
        <v>31</v>
      </c>
      <c r="I4" s="16" t="s">
        <v>32</v>
      </c>
      <c r="J4" s="16" t="s">
        <v>57</v>
      </c>
      <c r="K4" s="16" t="s">
        <v>34</v>
      </c>
      <c r="L4" s="16" t="s">
        <v>50</v>
      </c>
      <c r="M4" s="16">
        <v>4</v>
      </c>
      <c r="N4" s="16" t="s">
        <v>36</v>
      </c>
      <c r="O4" s="16" t="s">
        <v>37</v>
      </c>
      <c r="P4" s="16" t="s">
        <v>58</v>
      </c>
      <c r="Q4" s="16" t="s">
        <v>59</v>
      </c>
      <c r="R4" s="16" t="s">
        <v>40</v>
      </c>
      <c r="S4" s="16" t="s">
        <v>32</v>
      </c>
      <c r="T4" s="16">
        <v>4</v>
      </c>
      <c r="U4" s="16" t="s">
        <v>60</v>
      </c>
      <c r="V4" s="16" t="s">
        <v>42</v>
      </c>
      <c r="W4" s="16" t="s">
        <v>32</v>
      </c>
      <c r="X4" s="16" t="s">
        <v>42</v>
      </c>
      <c r="Y4" s="16" t="s">
        <v>61</v>
      </c>
      <c r="Z4" s="16"/>
    </row>
    <row r="5" spans="1:26" ht="14.25" customHeight="1" x14ac:dyDescent="0.35">
      <c r="A5" s="16" t="s">
        <v>62</v>
      </c>
      <c r="B5" s="16">
        <v>51</v>
      </c>
      <c r="C5" s="16" t="s">
        <v>63</v>
      </c>
      <c r="D5" s="16" t="s">
        <v>27</v>
      </c>
      <c r="E5" s="16" t="s">
        <v>28</v>
      </c>
      <c r="F5" s="16" t="s">
        <v>29</v>
      </c>
      <c r="G5" s="16" t="s">
        <v>47</v>
      </c>
      <c r="H5" s="16" t="s">
        <v>48</v>
      </c>
      <c r="I5" s="16" t="s">
        <v>32</v>
      </c>
      <c r="J5" s="16" t="s">
        <v>57</v>
      </c>
      <c r="K5" s="16" t="s">
        <v>34</v>
      </c>
      <c r="L5" s="16" t="s">
        <v>50</v>
      </c>
      <c r="M5" s="16">
        <v>5</v>
      </c>
      <c r="N5" s="16" t="s">
        <v>36</v>
      </c>
      <c r="O5" s="16" t="s">
        <v>37</v>
      </c>
      <c r="P5" s="16" t="s">
        <v>64</v>
      </c>
      <c r="Q5" s="16" t="s">
        <v>65</v>
      </c>
      <c r="R5" s="16" t="s">
        <v>53</v>
      </c>
      <c r="S5" s="16" t="s">
        <v>32</v>
      </c>
      <c r="T5" s="16">
        <v>3</v>
      </c>
      <c r="U5" s="16" t="s">
        <v>60</v>
      </c>
      <c r="V5" s="16" t="s">
        <v>42</v>
      </c>
      <c r="W5" s="16" t="s">
        <v>32</v>
      </c>
      <c r="X5" s="16" t="s">
        <v>42</v>
      </c>
      <c r="Y5" s="16" t="s">
        <v>61</v>
      </c>
      <c r="Z5" s="16"/>
    </row>
    <row r="6" spans="1:26" ht="14.25" customHeight="1" x14ac:dyDescent="0.35">
      <c r="A6" s="16" t="s">
        <v>66</v>
      </c>
      <c r="B6" s="16">
        <v>35</v>
      </c>
      <c r="C6" s="16" t="s">
        <v>317</v>
      </c>
      <c r="D6" s="16" t="s">
        <v>27</v>
      </c>
      <c r="E6" s="16" t="s">
        <v>33</v>
      </c>
      <c r="F6" s="16" t="s">
        <v>68</v>
      </c>
      <c r="G6" s="16" t="s">
        <v>47</v>
      </c>
      <c r="H6" s="16" t="s">
        <v>48</v>
      </c>
      <c r="I6" s="16" t="s">
        <v>32</v>
      </c>
      <c r="J6" s="16" t="s">
        <v>69</v>
      </c>
      <c r="K6" s="16" t="s">
        <v>34</v>
      </c>
      <c r="L6" s="16" t="s">
        <v>50</v>
      </c>
      <c r="M6" s="16">
        <v>4</v>
      </c>
      <c r="N6" s="16" t="s">
        <v>36</v>
      </c>
      <c r="O6" s="16" t="s">
        <v>37</v>
      </c>
      <c r="P6" s="16" t="s">
        <v>38</v>
      </c>
      <c r="Q6" s="16" t="s">
        <v>39</v>
      </c>
      <c r="R6" s="16" t="s">
        <v>70</v>
      </c>
      <c r="S6" s="16" t="s">
        <v>32</v>
      </c>
      <c r="T6" s="16">
        <v>5</v>
      </c>
      <c r="U6" s="16" t="s">
        <v>41</v>
      </c>
      <c r="V6" s="16" t="s">
        <v>42</v>
      </c>
      <c r="W6" s="16" t="s">
        <v>32</v>
      </c>
      <c r="X6" s="16" t="s">
        <v>42</v>
      </c>
      <c r="Y6" s="16" t="s">
        <v>43</v>
      </c>
      <c r="Z6" s="16"/>
    </row>
    <row r="7" spans="1:26" ht="14.25" customHeight="1" x14ac:dyDescent="0.35">
      <c r="A7" s="16" t="s">
        <v>71</v>
      </c>
      <c r="B7" s="16">
        <v>44</v>
      </c>
      <c r="C7" s="16" t="s">
        <v>316</v>
      </c>
      <c r="D7" s="16" t="s">
        <v>27</v>
      </c>
      <c r="E7" s="16" t="s">
        <v>28</v>
      </c>
      <c r="F7" s="16" t="s">
        <v>46</v>
      </c>
      <c r="G7" s="16" t="s">
        <v>72</v>
      </c>
      <c r="H7" s="16" t="s">
        <v>48</v>
      </c>
      <c r="I7" s="16" t="s">
        <v>32</v>
      </c>
      <c r="J7" s="16" t="s">
        <v>73</v>
      </c>
      <c r="K7" s="16" t="s">
        <v>34</v>
      </c>
      <c r="L7" s="16" t="s">
        <v>50</v>
      </c>
      <c r="M7" s="16">
        <v>3</v>
      </c>
      <c r="N7" s="16" t="s">
        <v>36</v>
      </c>
      <c r="O7" s="16" t="s">
        <v>37</v>
      </c>
      <c r="P7" s="16" t="s">
        <v>64</v>
      </c>
      <c r="Q7" s="16" t="s">
        <v>52</v>
      </c>
      <c r="R7" s="16" t="s">
        <v>53</v>
      </c>
      <c r="S7" s="16" t="s">
        <v>74</v>
      </c>
      <c r="T7" s="16">
        <v>3</v>
      </c>
      <c r="U7" s="16" t="s">
        <v>60</v>
      </c>
      <c r="V7" s="16" t="s">
        <v>42</v>
      </c>
      <c r="W7" s="16" t="s">
        <v>75</v>
      </c>
      <c r="X7" s="16" t="s">
        <v>42</v>
      </c>
      <c r="Y7" s="16" t="s">
        <v>76</v>
      </c>
      <c r="Z7" s="16"/>
    </row>
    <row r="8" spans="1:26" ht="14.25" customHeight="1" x14ac:dyDescent="0.35">
      <c r="A8" s="16" t="s">
        <v>77</v>
      </c>
      <c r="B8" s="16">
        <v>48</v>
      </c>
      <c r="C8" s="16" t="s">
        <v>316</v>
      </c>
      <c r="D8" s="16" t="s">
        <v>27</v>
      </c>
      <c r="E8" s="16" t="s">
        <v>78</v>
      </c>
      <c r="F8" s="16" t="s">
        <v>29</v>
      </c>
      <c r="G8" s="16" t="s">
        <v>30</v>
      </c>
      <c r="H8" s="16" t="s">
        <v>48</v>
      </c>
      <c r="I8" s="16" t="s">
        <v>32</v>
      </c>
      <c r="J8" s="16" t="s">
        <v>79</v>
      </c>
      <c r="K8" s="16" t="s">
        <v>80</v>
      </c>
      <c r="L8" s="16" t="s">
        <v>80</v>
      </c>
      <c r="M8" s="16">
        <v>0</v>
      </c>
      <c r="N8" s="16" t="s">
        <v>81</v>
      </c>
      <c r="O8" s="16" t="s">
        <v>81</v>
      </c>
      <c r="P8" s="16" t="s">
        <v>81</v>
      </c>
      <c r="Q8" s="16" t="s">
        <v>81</v>
      </c>
      <c r="R8" s="16" t="s">
        <v>81</v>
      </c>
      <c r="S8" s="16" t="s">
        <v>74</v>
      </c>
      <c r="T8" s="16" t="s">
        <v>82</v>
      </c>
      <c r="U8" s="16" t="s">
        <v>83</v>
      </c>
      <c r="V8" s="16" t="s">
        <v>84</v>
      </c>
      <c r="W8" s="16" t="s">
        <v>32</v>
      </c>
      <c r="X8" s="16" t="s">
        <v>84</v>
      </c>
      <c r="Y8" s="16" t="s">
        <v>85</v>
      </c>
      <c r="Z8" s="16"/>
    </row>
    <row r="9" spans="1:26" ht="14.25" customHeight="1" x14ac:dyDescent="0.35">
      <c r="A9" s="16" t="s">
        <v>86</v>
      </c>
      <c r="B9" s="16">
        <v>41</v>
      </c>
      <c r="C9" s="16" t="s">
        <v>316</v>
      </c>
      <c r="D9" s="16" t="s">
        <v>27</v>
      </c>
      <c r="E9" s="16" t="s">
        <v>28</v>
      </c>
      <c r="F9" s="16" t="s">
        <v>68</v>
      </c>
      <c r="G9" s="16" t="s">
        <v>87</v>
      </c>
      <c r="H9" s="16" t="s">
        <v>48</v>
      </c>
      <c r="I9" s="16" t="s">
        <v>32</v>
      </c>
      <c r="J9" s="16" t="s">
        <v>33</v>
      </c>
      <c r="K9" s="16" t="s">
        <v>34</v>
      </c>
      <c r="L9" s="16" t="s">
        <v>50</v>
      </c>
      <c r="M9" s="16">
        <v>4</v>
      </c>
      <c r="N9" s="16" t="s">
        <v>88</v>
      </c>
      <c r="O9" s="16" t="s">
        <v>89</v>
      </c>
      <c r="P9" s="16" t="s">
        <v>64</v>
      </c>
      <c r="Q9" s="16" t="s">
        <v>52</v>
      </c>
      <c r="R9" s="16" t="s">
        <v>53</v>
      </c>
      <c r="S9" s="16" t="s">
        <v>74</v>
      </c>
      <c r="T9" s="16">
        <v>3</v>
      </c>
      <c r="U9" s="16" t="s">
        <v>90</v>
      </c>
      <c r="V9" s="16" t="s">
        <v>84</v>
      </c>
      <c r="W9" s="16" t="s">
        <v>74</v>
      </c>
      <c r="X9" s="16" t="s">
        <v>84</v>
      </c>
      <c r="Y9" s="16" t="s">
        <v>76</v>
      </c>
      <c r="Z9" s="16"/>
    </row>
    <row r="10" spans="1:26" ht="14.25" customHeight="1" x14ac:dyDescent="0.35">
      <c r="A10" s="16" t="s">
        <v>91</v>
      </c>
      <c r="B10" s="16">
        <v>37</v>
      </c>
      <c r="C10" s="16" t="s">
        <v>317</v>
      </c>
      <c r="D10" s="16" t="s">
        <v>27</v>
      </c>
      <c r="E10" s="16" t="s">
        <v>28</v>
      </c>
      <c r="F10" s="16" t="s">
        <v>29</v>
      </c>
      <c r="G10" s="16" t="s">
        <v>87</v>
      </c>
      <c r="H10" s="16" t="s">
        <v>48</v>
      </c>
      <c r="I10" s="16" t="s">
        <v>32</v>
      </c>
      <c r="J10" s="16" t="s">
        <v>92</v>
      </c>
      <c r="K10" s="16" t="s">
        <v>34</v>
      </c>
      <c r="L10" s="16" t="s">
        <v>50</v>
      </c>
      <c r="M10" s="16">
        <v>4</v>
      </c>
      <c r="N10" s="16" t="s">
        <v>93</v>
      </c>
      <c r="O10" s="16" t="s">
        <v>89</v>
      </c>
      <c r="P10" s="16" t="s">
        <v>51</v>
      </c>
      <c r="Q10" s="16" t="s">
        <v>94</v>
      </c>
      <c r="R10" s="16" t="s">
        <v>53</v>
      </c>
      <c r="S10" s="16" t="s">
        <v>74</v>
      </c>
      <c r="T10" s="16">
        <v>1</v>
      </c>
      <c r="U10" s="16" t="s">
        <v>90</v>
      </c>
      <c r="V10" s="16" t="s">
        <v>84</v>
      </c>
      <c r="W10" s="16" t="s">
        <v>75</v>
      </c>
      <c r="X10" s="16" t="s">
        <v>84</v>
      </c>
      <c r="Y10" s="16" t="s">
        <v>76</v>
      </c>
      <c r="Z10" s="16"/>
    </row>
    <row r="11" spans="1:26" ht="14.25" customHeight="1" x14ac:dyDescent="0.35">
      <c r="A11" s="16" t="s">
        <v>95</v>
      </c>
      <c r="B11" s="16">
        <v>31</v>
      </c>
      <c r="C11" s="16" t="s">
        <v>317</v>
      </c>
      <c r="D11" s="16" t="s">
        <v>27</v>
      </c>
      <c r="E11" s="16" t="s">
        <v>78</v>
      </c>
      <c r="F11" s="16" t="s">
        <v>68</v>
      </c>
      <c r="G11" s="16" t="s">
        <v>30</v>
      </c>
      <c r="H11" s="16" t="s">
        <v>48</v>
      </c>
      <c r="I11" s="16" t="s">
        <v>74</v>
      </c>
      <c r="J11" s="16" t="s">
        <v>96</v>
      </c>
      <c r="K11" s="16" t="s">
        <v>80</v>
      </c>
      <c r="L11" s="16" t="s">
        <v>80</v>
      </c>
      <c r="M11" s="16">
        <v>0</v>
      </c>
      <c r="N11" s="16" t="s">
        <v>81</v>
      </c>
      <c r="O11" s="16" t="s">
        <v>81</v>
      </c>
      <c r="P11" s="16" t="s">
        <v>81</v>
      </c>
      <c r="Q11" s="16" t="s">
        <v>81</v>
      </c>
      <c r="R11" s="16" t="s">
        <v>81</v>
      </c>
      <c r="S11" s="16" t="s">
        <v>74</v>
      </c>
      <c r="T11" s="16" t="s">
        <v>82</v>
      </c>
      <c r="U11" s="16" t="s">
        <v>97</v>
      </c>
      <c r="V11" s="16" t="s">
        <v>98</v>
      </c>
      <c r="W11" s="16" t="s">
        <v>74</v>
      </c>
      <c r="X11" s="16" t="s">
        <v>98</v>
      </c>
      <c r="Y11" s="16" t="s">
        <v>99</v>
      </c>
      <c r="Z11" s="16"/>
    </row>
    <row r="12" spans="1:26" ht="14.25" customHeight="1" x14ac:dyDescent="0.35">
      <c r="A12" s="16" t="s">
        <v>100</v>
      </c>
      <c r="B12" s="16">
        <v>13</v>
      </c>
      <c r="C12" s="16" t="s">
        <v>315</v>
      </c>
      <c r="D12" s="16" t="s">
        <v>27</v>
      </c>
      <c r="E12" s="16" t="s">
        <v>55</v>
      </c>
      <c r="F12" s="16" t="s">
        <v>68</v>
      </c>
      <c r="G12" s="16" t="s">
        <v>47</v>
      </c>
      <c r="H12" s="16" t="s">
        <v>31</v>
      </c>
      <c r="I12" s="16" t="s">
        <v>32</v>
      </c>
      <c r="J12" s="16" t="s">
        <v>49</v>
      </c>
      <c r="K12" s="16" t="s">
        <v>34</v>
      </c>
      <c r="L12" s="16" t="s">
        <v>35</v>
      </c>
      <c r="M12" s="16">
        <v>2</v>
      </c>
      <c r="N12" s="16" t="s">
        <v>36</v>
      </c>
      <c r="O12" s="16" t="s">
        <v>37</v>
      </c>
      <c r="P12" s="16" t="s">
        <v>51</v>
      </c>
      <c r="Q12" s="16" t="s">
        <v>52</v>
      </c>
      <c r="R12" s="16" t="s">
        <v>101</v>
      </c>
      <c r="S12" s="16" t="s">
        <v>74</v>
      </c>
      <c r="T12" s="16">
        <v>2</v>
      </c>
      <c r="U12" s="16" t="s">
        <v>41</v>
      </c>
      <c r="V12" s="16" t="s">
        <v>98</v>
      </c>
      <c r="W12" s="16" t="s">
        <v>75</v>
      </c>
      <c r="X12" s="16" t="s">
        <v>98</v>
      </c>
      <c r="Y12" s="16" t="s">
        <v>76</v>
      </c>
      <c r="Z12" s="16"/>
    </row>
    <row r="13" spans="1:26" ht="14.25" customHeight="1" x14ac:dyDescent="0.35">
      <c r="A13" s="16" t="s">
        <v>102</v>
      </c>
      <c r="B13" s="16">
        <v>45</v>
      </c>
      <c r="C13" s="16" t="s">
        <v>316</v>
      </c>
      <c r="D13" s="16" t="s">
        <v>27</v>
      </c>
      <c r="E13" s="16" t="s">
        <v>28</v>
      </c>
      <c r="F13" s="16" t="s">
        <v>29</v>
      </c>
      <c r="G13" s="16" t="s">
        <v>87</v>
      </c>
      <c r="H13" s="16" t="s">
        <v>48</v>
      </c>
      <c r="I13" s="16" t="s">
        <v>32</v>
      </c>
      <c r="J13" s="16" t="s">
        <v>57</v>
      </c>
      <c r="K13" s="16" t="s">
        <v>34</v>
      </c>
      <c r="L13" s="16" t="s">
        <v>318</v>
      </c>
      <c r="M13" s="16">
        <v>5</v>
      </c>
      <c r="N13" s="16" t="s">
        <v>88</v>
      </c>
      <c r="O13" s="16" t="s">
        <v>104</v>
      </c>
      <c r="P13" s="16" t="s">
        <v>64</v>
      </c>
      <c r="Q13" s="16" t="s">
        <v>59</v>
      </c>
      <c r="R13" s="16" t="s">
        <v>40</v>
      </c>
      <c r="S13" s="16" t="s">
        <v>74</v>
      </c>
      <c r="T13" s="16">
        <v>5</v>
      </c>
      <c r="U13" s="16" t="s">
        <v>90</v>
      </c>
      <c r="V13" s="16" t="s">
        <v>98</v>
      </c>
      <c r="W13" s="16" t="s">
        <v>75</v>
      </c>
      <c r="X13" s="16" t="s">
        <v>98</v>
      </c>
      <c r="Y13" s="16" t="s">
        <v>76</v>
      </c>
      <c r="Z13" s="16"/>
    </row>
    <row r="14" spans="1:26" ht="14.25" customHeight="1" x14ac:dyDescent="0.35">
      <c r="A14" s="16" t="s">
        <v>105</v>
      </c>
      <c r="B14" s="16">
        <v>21</v>
      </c>
      <c r="C14" s="16" t="s">
        <v>319</v>
      </c>
      <c r="D14" s="16" t="s">
        <v>27</v>
      </c>
      <c r="E14" s="16" t="s">
        <v>28</v>
      </c>
      <c r="F14" s="16" t="s">
        <v>46</v>
      </c>
      <c r="G14" s="16" t="s">
        <v>72</v>
      </c>
      <c r="H14" s="16" t="s">
        <v>107</v>
      </c>
      <c r="I14" s="16" t="s">
        <v>32</v>
      </c>
      <c r="J14" s="16" t="s">
        <v>92</v>
      </c>
      <c r="K14" s="16" t="s">
        <v>34</v>
      </c>
      <c r="L14" s="16" t="s">
        <v>318</v>
      </c>
      <c r="M14" s="16">
        <v>4</v>
      </c>
      <c r="N14" s="16" t="s">
        <v>36</v>
      </c>
      <c r="O14" s="16" t="s">
        <v>37</v>
      </c>
      <c r="P14" s="16" t="s">
        <v>58</v>
      </c>
      <c r="Q14" s="16" t="s">
        <v>59</v>
      </c>
      <c r="R14" s="16" t="s">
        <v>53</v>
      </c>
      <c r="S14" s="16" t="s">
        <v>32</v>
      </c>
      <c r="T14" s="16">
        <v>4</v>
      </c>
      <c r="U14" s="16" t="s">
        <v>90</v>
      </c>
      <c r="V14" s="16" t="s">
        <v>98</v>
      </c>
      <c r="W14" s="16" t="s">
        <v>32</v>
      </c>
      <c r="X14" s="16" t="s">
        <v>98</v>
      </c>
      <c r="Y14" s="16" t="s">
        <v>108</v>
      </c>
      <c r="Z14" s="16"/>
    </row>
    <row r="15" spans="1:26" ht="14.25" customHeight="1" x14ac:dyDescent="0.35">
      <c r="A15" s="16" t="s">
        <v>109</v>
      </c>
      <c r="B15" s="16">
        <v>19</v>
      </c>
      <c r="C15" s="16" t="s">
        <v>315</v>
      </c>
      <c r="D15" s="16" t="s">
        <v>27</v>
      </c>
      <c r="E15" s="16" t="s">
        <v>28</v>
      </c>
      <c r="F15" s="16" t="s">
        <v>29</v>
      </c>
      <c r="G15" s="16" t="s">
        <v>87</v>
      </c>
      <c r="H15" s="16" t="s">
        <v>107</v>
      </c>
      <c r="I15" s="16" t="s">
        <v>32</v>
      </c>
      <c r="J15" s="16" t="s">
        <v>33</v>
      </c>
      <c r="K15" s="16" t="s">
        <v>80</v>
      </c>
      <c r="L15" s="16" t="s">
        <v>80</v>
      </c>
      <c r="M15" s="16">
        <v>0</v>
      </c>
      <c r="N15" s="16" t="s">
        <v>81</v>
      </c>
      <c r="O15" s="16" t="s">
        <v>81</v>
      </c>
      <c r="P15" s="16" t="s">
        <v>81</v>
      </c>
      <c r="Q15" s="16" t="s">
        <v>81</v>
      </c>
      <c r="R15" s="16" t="s">
        <v>81</v>
      </c>
      <c r="S15" s="16" t="s">
        <v>74</v>
      </c>
      <c r="T15" s="16" t="s">
        <v>82</v>
      </c>
      <c r="U15" s="16" t="s">
        <v>110</v>
      </c>
      <c r="V15" s="16" t="s">
        <v>42</v>
      </c>
      <c r="W15" s="16" t="s">
        <v>32</v>
      </c>
      <c r="X15" s="16" t="s">
        <v>42</v>
      </c>
      <c r="Y15" s="16" t="s">
        <v>111</v>
      </c>
      <c r="Z15" s="16"/>
    </row>
    <row r="16" spans="1:26" ht="14.25" customHeight="1" x14ac:dyDescent="0.35">
      <c r="A16" s="16" t="s">
        <v>112</v>
      </c>
      <c r="B16" s="16">
        <v>24</v>
      </c>
      <c r="C16" s="16" t="s">
        <v>319</v>
      </c>
      <c r="D16" s="16" t="s">
        <v>27</v>
      </c>
      <c r="E16" s="16" t="s">
        <v>78</v>
      </c>
      <c r="F16" s="16" t="s">
        <v>46</v>
      </c>
      <c r="G16" s="16" t="s">
        <v>72</v>
      </c>
      <c r="H16" s="16" t="s">
        <v>107</v>
      </c>
      <c r="I16" s="16" t="s">
        <v>32</v>
      </c>
      <c r="J16" s="16" t="s">
        <v>33</v>
      </c>
      <c r="K16" s="16" t="s">
        <v>34</v>
      </c>
      <c r="L16" s="16" t="s">
        <v>50</v>
      </c>
      <c r="M16" s="16">
        <v>5</v>
      </c>
      <c r="N16" s="16" t="s">
        <v>36</v>
      </c>
      <c r="O16" s="16" t="s">
        <v>37</v>
      </c>
      <c r="P16" s="16" t="s">
        <v>38</v>
      </c>
      <c r="Q16" s="16" t="s">
        <v>59</v>
      </c>
      <c r="R16" s="16" t="s">
        <v>53</v>
      </c>
      <c r="S16" s="16" t="s">
        <v>32</v>
      </c>
      <c r="T16" s="16">
        <v>5</v>
      </c>
      <c r="U16" s="16" t="s">
        <v>60</v>
      </c>
      <c r="V16" s="16" t="s">
        <v>98</v>
      </c>
      <c r="W16" s="16" t="s">
        <v>32</v>
      </c>
      <c r="X16" s="16" t="s">
        <v>98</v>
      </c>
      <c r="Y16" s="16" t="s">
        <v>61</v>
      </c>
      <c r="Z16" s="16"/>
    </row>
    <row r="17" spans="1:26" ht="14.25" customHeight="1" x14ac:dyDescent="0.35">
      <c r="A17" s="16" t="s">
        <v>113</v>
      </c>
      <c r="B17" s="16">
        <v>37</v>
      </c>
      <c r="C17" s="16" t="s">
        <v>317</v>
      </c>
      <c r="D17" s="16" t="s">
        <v>27</v>
      </c>
      <c r="E17" s="16" t="s">
        <v>78</v>
      </c>
      <c r="F17" s="16" t="s">
        <v>29</v>
      </c>
      <c r="G17" s="16" t="s">
        <v>87</v>
      </c>
      <c r="H17" s="16" t="s">
        <v>48</v>
      </c>
      <c r="I17" s="16" t="s">
        <v>32</v>
      </c>
      <c r="J17" s="16" t="s">
        <v>49</v>
      </c>
      <c r="K17" s="16" t="s">
        <v>80</v>
      </c>
      <c r="L17" s="16" t="s">
        <v>80</v>
      </c>
      <c r="M17" s="16">
        <v>0</v>
      </c>
      <c r="N17" s="16" t="s">
        <v>81</v>
      </c>
      <c r="O17" s="16" t="s">
        <v>81</v>
      </c>
      <c r="P17" s="16" t="s">
        <v>81</v>
      </c>
      <c r="Q17" s="16" t="s">
        <v>81</v>
      </c>
      <c r="R17" s="16" t="s">
        <v>81</v>
      </c>
      <c r="S17" s="16" t="s">
        <v>74</v>
      </c>
      <c r="T17" s="16" t="s">
        <v>82</v>
      </c>
      <c r="U17" s="16" t="s">
        <v>83</v>
      </c>
      <c r="V17" s="16" t="s">
        <v>114</v>
      </c>
      <c r="W17" s="16" t="s">
        <v>32</v>
      </c>
      <c r="X17" s="16" t="s">
        <v>114</v>
      </c>
      <c r="Y17" s="16" t="s">
        <v>85</v>
      </c>
      <c r="Z17" s="16"/>
    </row>
    <row r="18" spans="1:26" ht="14.25" customHeight="1" x14ac:dyDescent="0.35">
      <c r="A18" s="16" t="s">
        <v>115</v>
      </c>
      <c r="B18" s="16">
        <v>53</v>
      </c>
      <c r="C18" s="16" t="s">
        <v>63</v>
      </c>
      <c r="D18" s="16" t="s">
        <v>27</v>
      </c>
      <c r="E18" s="16" t="s">
        <v>78</v>
      </c>
      <c r="F18" s="16" t="s">
        <v>46</v>
      </c>
      <c r="G18" s="16" t="s">
        <v>47</v>
      </c>
      <c r="H18" s="16" t="s">
        <v>48</v>
      </c>
      <c r="I18" s="16" t="s">
        <v>32</v>
      </c>
      <c r="J18" s="16" t="s">
        <v>57</v>
      </c>
      <c r="K18" s="16" t="s">
        <v>34</v>
      </c>
      <c r="L18" s="16" t="s">
        <v>50</v>
      </c>
      <c r="M18" s="16">
        <v>4</v>
      </c>
      <c r="N18" s="16" t="s">
        <v>36</v>
      </c>
      <c r="O18" s="16" t="s">
        <v>37</v>
      </c>
      <c r="P18" s="16" t="s">
        <v>64</v>
      </c>
      <c r="Q18" s="16" t="s">
        <v>52</v>
      </c>
      <c r="R18" s="16" t="s">
        <v>116</v>
      </c>
      <c r="S18" s="16" t="s">
        <v>74</v>
      </c>
      <c r="T18" s="16">
        <v>3</v>
      </c>
      <c r="U18" s="16" t="s">
        <v>90</v>
      </c>
      <c r="V18" s="16" t="s">
        <v>98</v>
      </c>
      <c r="W18" s="16" t="s">
        <v>32</v>
      </c>
      <c r="X18" s="16" t="s">
        <v>98</v>
      </c>
      <c r="Y18" s="16" t="s">
        <v>76</v>
      </c>
      <c r="Z18" s="16"/>
    </row>
    <row r="19" spans="1:26" ht="14.25" customHeight="1" x14ac:dyDescent="0.35">
      <c r="A19" s="16" t="s">
        <v>117</v>
      </c>
      <c r="B19" s="16">
        <v>36</v>
      </c>
      <c r="C19" s="16" t="s">
        <v>317</v>
      </c>
      <c r="D19" s="16" t="s">
        <v>27</v>
      </c>
      <c r="E19" s="16" t="s">
        <v>118</v>
      </c>
      <c r="F19" s="16" t="s">
        <v>56</v>
      </c>
      <c r="G19" s="16" t="s">
        <v>30</v>
      </c>
      <c r="H19" s="16" t="s">
        <v>119</v>
      </c>
      <c r="I19" s="16" t="s">
        <v>32</v>
      </c>
      <c r="J19" s="16" t="s">
        <v>79</v>
      </c>
      <c r="K19" s="16" t="s">
        <v>80</v>
      </c>
      <c r="L19" s="16" t="s">
        <v>80</v>
      </c>
      <c r="M19" s="16">
        <v>0</v>
      </c>
      <c r="N19" s="16" t="s">
        <v>81</v>
      </c>
      <c r="O19" s="16" t="s">
        <v>81</v>
      </c>
      <c r="P19" s="16" t="s">
        <v>81</v>
      </c>
      <c r="Q19" s="16" t="s">
        <v>81</v>
      </c>
      <c r="R19" s="16" t="s">
        <v>81</v>
      </c>
      <c r="S19" s="16" t="s">
        <v>74</v>
      </c>
      <c r="T19" s="16" t="s">
        <v>82</v>
      </c>
      <c r="U19" s="16" t="s">
        <v>83</v>
      </c>
      <c r="V19" s="16" t="s">
        <v>98</v>
      </c>
      <c r="W19" s="16" t="s">
        <v>32</v>
      </c>
      <c r="X19" s="16" t="s">
        <v>98</v>
      </c>
      <c r="Y19" s="16" t="s">
        <v>85</v>
      </c>
      <c r="Z19" s="16"/>
    </row>
    <row r="20" spans="1:26" ht="14.25" customHeight="1" x14ac:dyDescent="0.35">
      <c r="A20" s="16" t="s">
        <v>120</v>
      </c>
      <c r="B20" s="16">
        <v>31</v>
      </c>
      <c r="C20" s="16" t="s">
        <v>317</v>
      </c>
      <c r="D20" s="16" t="s">
        <v>27</v>
      </c>
      <c r="E20" s="16" t="s">
        <v>118</v>
      </c>
      <c r="F20" s="16" t="s">
        <v>46</v>
      </c>
      <c r="G20" s="16" t="s">
        <v>72</v>
      </c>
      <c r="H20" s="16" t="s">
        <v>48</v>
      </c>
      <c r="I20" s="16" t="s">
        <v>32</v>
      </c>
      <c r="J20" s="16" t="s">
        <v>79</v>
      </c>
      <c r="K20" s="16" t="s">
        <v>34</v>
      </c>
      <c r="L20" s="16" t="s">
        <v>318</v>
      </c>
      <c r="M20" s="16">
        <v>3</v>
      </c>
      <c r="N20" s="16" t="s">
        <v>36</v>
      </c>
      <c r="O20" s="16" t="s">
        <v>37</v>
      </c>
      <c r="P20" s="16" t="s">
        <v>64</v>
      </c>
      <c r="Q20" s="16" t="s">
        <v>65</v>
      </c>
      <c r="R20" s="16" t="s">
        <v>116</v>
      </c>
      <c r="S20" s="16" t="s">
        <v>32</v>
      </c>
      <c r="T20" s="16">
        <v>2</v>
      </c>
      <c r="U20" s="16" t="s">
        <v>121</v>
      </c>
      <c r="V20" s="16" t="s">
        <v>98</v>
      </c>
      <c r="W20" s="16" t="s">
        <v>32</v>
      </c>
      <c r="X20" s="16" t="s">
        <v>98</v>
      </c>
      <c r="Y20" s="16" t="s">
        <v>122</v>
      </c>
      <c r="Z20" s="16"/>
    </row>
    <row r="21" spans="1:26" ht="14.25" customHeight="1" x14ac:dyDescent="0.35">
      <c r="A21" s="16" t="s">
        <v>123</v>
      </c>
      <c r="B21" s="16">
        <v>30</v>
      </c>
      <c r="C21" s="16" t="s">
        <v>317</v>
      </c>
      <c r="D21" s="16" t="s">
        <v>27</v>
      </c>
      <c r="E21" s="16" t="s">
        <v>118</v>
      </c>
      <c r="F21" s="16" t="s">
        <v>29</v>
      </c>
      <c r="G21" s="16" t="s">
        <v>47</v>
      </c>
      <c r="H21" s="16" t="s">
        <v>48</v>
      </c>
      <c r="I21" s="16" t="s">
        <v>32</v>
      </c>
      <c r="J21" s="16" t="s">
        <v>92</v>
      </c>
      <c r="K21" s="16" t="s">
        <v>80</v>
      </c>
      <c r="L21" s="16" t="s">
        <v>80</v>
      </c>
      <c r="M21" s="16">
        <v>0</v>
      </c>
      <c r="N21" s="16" t="s">
        <v>81</v>
      </c>
      <c r="O21" s="16" t="s">
        <v>81</v>
      </c>
      <c r="P21" s="16" t="s">
        <v>81</v>
      </c>
      <c r="Q21" s="16" t="s">
        <v>81</v>
      </c>
      <c r="R21" s="16" t="s">
        <v>81</v>
      </c>
      <c r="S21" s="16" t="s">
        <v>74</v>
      </c>
      <c r="T21" s="16" t="s">
        <v>82</v>
      </c>
      <c r="U21" s="16" t="s">
        <v>90</v>
      </c>
      <c r="V21" s="16" t="s">
        <v>114</v>
      </c>
      <c r="W21" s="16" t="s">
        <v>74</v>
      </c>
      <c r="X21" s="16" t="s">
        <v>114</v>
      </c>
      <c r="Y21" s="16" t="s">
        <v>124</v>
      </c>
      <c r="Z21" s="16"/>
    </row>
    <row r="22" spans="1:26" ht="14.25" customHeight="1" x14ac:dyDescent="0.35">
      <c r="A22" s="16" t="s">
        <v>125</v>
      </c>
      <c r="B22" s="16">
        <v>13</v>
      </c>
      <c r="C22" s="16" t="s">
        <v>315</v>
      </c>
      <c r="D22" s="16" t="s">
        <v>27</v>
      </c>
      <c r="E22" s="16" t="s">
        <v>28</v>
      </c>
      <c r="F22" s="16" t="s">
        <v>29</v>
      </c>
      <c r="G22" s="16" t="s">
        <v>87</v>
      </c>
      <c r="H22" s="16" t="s">
        <v>31</v>
      </c>
      <c r="I22" s="16" t="s">
        <v>32</v>
      </c>
      <c r="J22" s="16" t="s">
        <v>92</v>
      </c>
      <c r="K22" s="16" t="s">
        <v>34</v>
      </c>
      <c r="L22" s="16" t="s">
        <v>318</v>
      </c>
      <c r="M22" s="16">
        <v>3</v>
      </c>
      <c r="N22" s="16" t="s">
        <v>93</v>
      </c>
      <c r="O22" s="16" t="s">
        <v>126</v>
      </c>
      <c r="P22" s="16" t="s">
        <v>127</v>
      </c>
      <c r="Q22" s="16" t="s">
        <v>65</v>
      </c>
      <c r="R22" s="16" t="s">
        <v>116</v>
      </c>
      <c r="S22" s="16" t="s">
        <v>32</v>
      </c>
      <c r="T22" s="16">
        <v>2</v>
      </c>
      <c r="U22" s="16" t="s">
        <v>121</v>
      </c>
      <c r="V22" s="16" t="s">
        <v>84</v>
      </c>
      <c r="W22" s="16" t="s">
        <v>75</v>
      </c>
      <c r="X22" s="16" t="s">
        <v>84</v>
      </c>
      <c r="Y22" s="16" t="s">
        <v>122</v>
      </c>
      <c r="Z22" s="16"/>
    </row>
    <row r="23" spans="1:26" ht="14.25" customHeight="1" x14ac:dyDescent="0.35">
      <c r="A23" s="16" t="s">
        <v>128</v>
      </c>
      <c r="B23" s="16">
        <v>19</v>
      </c>
      <c r="C23" s="16" t="s">
        <v>315</v>
      </c>
      <c r="D23" s="16" t="s">
        <v>27</v>
      </c>
      <c r="E23" s="16" t="s">
        <v>55</v>
      </c>
      <c r="F23" s="16" t="s">
        <v>29</v>
      </c>
      <c r="G23" s="16" t="s">
        <v>30</v>
      </c>
      <c r="H23" s="16" t="s">
        <v>107</v>
      </c>
      <c r="I23" s="16" t="s">
        <v>74</v>
      </c>
      <c r="J23" s="16" t="s">
        <v>96</v>
      </c>
      <c r="K23" s="16" t="s">
        <v>80</v>
      </c>
      <c r="L23" s="16" t="s">
        <v>80</v>
      </c>
      <c r="M23" s="16">
        <v>0</v>
      </c>
      <c r="N23" s="16" t="s">
        <v>81</v>
      </c>
      <c r="O23" s="16" t="s">
        <v>81</v>
      </c>
      <c r="P23" s="16" t="s">
        <v>81</v>
      </c>
      <c r="Q23" s="16" t="s">
        <v>81</v>
      </c>
      <c r="R23" s="16" t="s">
        <v>81</v>
      </c>
      <c r="S23" s="16" t="s">
        <v>74</v>
      </c>
      <c r="T23" s="16" t="s">
        <v>82</v>
      </c>
      <c r="U23" s="16" t="s">
        <v>97</v>
      </c>
      <c r="V23" s="16" t="s">
        <v>84</v>
      </c>
      <c r="W23" s="16" t="s">
        <v>75</v>
      </c>
      <c r="X23" s="16" t="s">
        <v>84</v>
      </c>
      <c r="Y23" s="16" t="s">
        <v>99</v>
      </c>
      <c r="Z23" s="16"/>
    </row>
    <row r="24" spans="1:26" ht="14.25" customHeight="1" x14ac:dyDescent="0.35">
      <c r="A24" s="16" t="s">
        <v>129</v>
      </c>
      <c r="B24" s="16">
        <v>56</v>
      </c>
      <c r="C24" s="16" t="s">
        <v>63</v>
      </c>
      <c r="D24" s="16" t="s">
        <v>27</v>
      </c>
      <c r="E24" s="16" t="s">
        <v>28</v>
      </c>
      <c r="F24" s="16" t="s">
        <v>46</v>
      </c>
      <c r="G24" s="16" t="s">
        <v>30</v>
      </c>
      <c r="H24" s="16" t="s">
        <v>48</v>
      </c>
      <c r="I24" s="16" t="s">
        <v>32</v>
      </c>
      <c r="J24" s="16" t="s">
        <v>57</v>
      </c>
      <c r="K24" s="16" t="s">
        <v>34</v>
      </c>
      <c r="L24" s="16" t="s">
        <v>318</v>
      </c>
      <c r="M24" s="16">
        <v>5</v>
      </c>
      <c r="N24" s="16" t="s">
        <v>88</v>
      </c>
      <c r="O24" s="16" t="s">
        <v>104</v>
      </c>
      <c r="P24" s="16" t="s">
        <v>64</v>
      </c>
      <c r="Q24" s="16" t="s">
        <v>52</v>
      </c>
      <c r="R24" s="16" t="s">
        <v>40</v>
      </c>
      <c r="S24" s="16" t="s">
        <v>32</v>
      </c>
      <c r="T24" s="16">
        <v>4</v>
      </c>
      <c r="U24" s="16" t="s">
        <v>41</v>
      </c>
      <c r="V24" s="16" t="s">
        <v>42</v>
      </c>
      <c r="W24" s="16" t="s">
        <v>74</v>
      </c>
      <c r="X24" s="16" t="s">
        <v>42</v>
      </c>
      <c r="Y24" s="16" t="s">
        <v>43</v>
      </c>
      <c r="Z24" s="16"/>
    </row>
    <row r="25" spans="1:26" ht="14.25" customHeight="1" x14ac:dyDescent="0.35">
      <c r="A25" s="16" t="s">
        <v>130</v>
      </c>
      <c r="B25" s="16">
        <v>41</v>
      </c>
      <c r="C25" s="16" t="s">
        <v>316</v>
      </c>
      <c r="D25" s="16" t="s">
        <v>27</v>
      </c>
      <c r="E25" s="16" t="s">
        <v>28</v>
      </c>
      <c r="F25" s="16" t="s">
        <v>46</v>
      </c>
      <c r="G25" s="16" t="s">
        <v>30</v>
      </c>
      <c r="H25" s="16" t="s">
        <v>48</v>
      </c>
      <c r="I25" s="16" t="s">
        <v>32</v>
      </c>
      <c r="J25" s="16" t="s">
        <v>57</v>
      </c>
      <c r="K25" s="16" t="s">
        <v>80</v>
      </c>
      <c r="L25" s="16" t="s">
        <v>80</v>
      </c>
      <c r="M25" s="16">
        <v>0</v>
      </c>
      <c r="N25" s="16" t="s">
        <v>81</v>
      </c>
      <c r="O25" s="16" t="s">
        <v>81</v>
      </c>
      <c r="P25" s="16" t="s">
        <v>81</v>
      </c>
      <c r="Q25" s="16" t="s">
        <v>81</v>
      </c>
      <c r="R25" s="16" t="s">
        <v>81</v>
      </c>
      <c r="S25" s="16" t="s">
        <v>74</v>
      </c>
      <c r="T25" s="16" t="s">
        <v>82</v>
      </c>
      <c r="U25" s="16" t="s">
        <v>90</v>
      </c>
      <c r="V25" s="16" t="s">
        <v>98</v>
      </c>
      <c r="W25" s="16" t="s">
        <v>75</v>
      </c>
      <c r="X25" s="16" t="s">
        <v>98</v>
      </c>
      <c r="Y25" s="16" t="s">
        <v>124</v>
      </c>
      <c r="Z25" s="16"/>
    </row>
    <row r="26" spans="1:26" ht="14.25" customHeight="1" x14ac:dyDescent="0.35">
      <c r="A26" s="16" t="s">
        <v>131</v>
      </c>
      <c r="B26" s="16">
        <v>28</v>
      </c>
      <c r="C26" s="16" t="s">
        <v>319</v>
      </c>
      <c r="D26" s="16" t="s">
        <v>27</v>
      </c>
      <c r="E26" s="16" t="s">
        <v>28</v>
      </c>
      <c r="F26" s="16" t="s">
        <v>29</v>
      </c>
      <c r="G26" s="16" t="s">
        <v>87</v>
      </c>
      <c r="H26" s="16" t="s">
        <v>107</v>
      </c>
      <c r="I26" s="16" t="s">
        <v>32</v>
      </c>
      <c r="J26" s="16" t="s">
        <v>73</v>
      </c>
      <c r="K26" s="16" t="s">
        <v>80</v>
      </c>
      <c r="L26" s="16" t="s">
        <v>80</v>
      </c>
      <c r="M26" s="16">
        <v>0</v>
      </c>
      <c r="N26" s="16" t="s">
        <v>81</v>
      </c>
      <c r="O26" s="16" t="s">
        <v>81</v>
      </c>
      <c r="P26" s="16" t="s">
        <v>81</v>
      </c>
      <c r="Q26" s="16" t="s">
        <v>81</v>
      </c>
      <c r="R26" s="16" t="s">
        <v>81</v>
      </c>
      <c r="S26" s="16" t="s">
        <v>74</v>
      </c>
      <c r="T26" s="16" t="s">
        <v>82</v>
      </c>
      <c r="U26" s="16" t="s">
        <v>110</v>
      </c>
      <c r="V26" s="16" t="s">
        <v>132</v>
      </c>
      <c r="W26" s="16" t="s">
        <v>32</v>
      </c>
      <c r="X26" s="16" t="s">
        <v>132</v>
      </c>
      <c r="Y26" s="16" t="s">
        <v>111</v>
      </c>
      <c r="Z26" s="16"/>
    </row>
    <row r="27" spans="1:26" ht="14.25" customHeight="1" x14ac:dyDescent="0.35">
      <c r="A27" s="16" t="s">
        <v>133</v>
      </c>
      <c r="B27" s="16">
        <v>18</v>
      </c>
      <c r="C27" s="16" t="s">
        <v>315</v>
      </c>
      <c r="D27" s="16" t="s">
        <v>27</v>
      </c>
      <c r="E27" s="16" t="s">
        <v>55</v>
      </c>
      <c r="F27" s="16" t="s">
        <v>29</v>
      </c>
      <c r="G27" s="16" t="s">
        <v>87</v>
      </c>
      <c r="H27" s="16" t="s">
        <v>107</v>
      </c>
      <c r="I27" s="16" t="s">
        <v>32</v>
      </c>
      <c r="J27" s="16" t="s">
        <v>33</v>
      </c>
      <c r="K27" s="16" t="s">
        <v>80</v>
      </c>
      <c r="L27" s="16" t="s">
        <v>80</v>
      </c>
      <c r="M27" s="16">
        <v>0</v>
      </c>
      <c r="N27" s="16" t="s">
        <v>81</v>
      </c>
      <c r="O27" s="16" t="s">
        <v>81</v>
      </c>
      <c r="P27" s="16" t="s">
        <v>81</v>
      </c>
      <c r="Q27" s="16" t="s">
        <v>81</v>
      </c>
      <c r="R27" s="16" t="s">
        <v>81</v>
      </c>
      <c r="S27" s="16" t="s">
        <v>74</v>
      </c>
      <c r="T27" s="16" t="s">
        <v>82</v>
      </c>
      <c r="U27" s="16" t="s">
        <v>83</v>
      </c>
      <c r="V27" s="16" t="s">
        <v>84</v>
      </c>
      <c r="W27" s="16" t="s">
        <v>75</v>
      </c>
      <c r="X27" s="16" t="s">
        <v>84</v>
      </c>
      <c r="Y27" s="16" t="s">
        <v>85</v>
      </c>
      <c r="Z27" s="16"/>
    </row>
    <row r="28" spans="1:26" ht="14.25" customHeight="1" x14ac:dyDescent="0.35">
      <c r="A28" s="16" t="s">
        <v>134</v>
      </c>
      <c r="B28" s="16">
        <v>14</v>
      </c>
      <c r="C28" s="16" t="s">
        <v>315</v>
      </c>
      <c r="D28" s="16" t="s">
        <v>27</v>
      </c>
      <c r="E28" s="16" t="s">
        <v>28</v>
      </c>
      <c r="F28" s="16" t="s">
        <v>29</v>
      </c>
      <c r="G28" s="16" t="s">
        <v>87</v>
      </c>
      <c r="H28" s="16" t="s">
        <v>31</v>
      </c>
      <c r="I28" s="16" t="s">
        <v>32</v>
      </c>
      <c r="J28" s="16" t="s">
        <v>79</v>
      </c>
      <c r="K28" s="16" t="s">
        <v>34</v>
      </c>
      <c r="L28" s="16" t="s">
        <v>50</v>
      </c>
      <c r="M28" s="16">
        <v>1</v>
      </c>
      <c r="N28" s="16" t="s">
        <v>93</v>
      </c>
      <c r="O28" s="16" t="s">
        <v>89</v>
      </c>
      <c r="P28" s="16" t="s">
        <v>127</v>
      </c>
      <c r="Q28" s="16" t="s">
        <v>94</v>
      </c>
      <c r="R28" s="16" t="s">
        <v>101</v>
      </c>
      <c r="S28" s="16" t="s">
        <v>32</v>
      </c>
      <c r="T28" s="16">
        <v>1</v>
      </c>
      <c r="U28" s="16" t="s">
        <v>110</v>
      </c>
      <c r="V28" s="16" t="s">
        <v>84</v>
      </c>
      <c r="W28" s="16" t="s">
        <v>74</v>
      </c>
      <c r="X28" s="16" t="s">
        <v>84</v>
      </c>
      <c r="Y28" s="16" t="s">
        <v>135</v>
      </c>
      <c r="Z28" s="16"/>
    </row>
    <row r="29" spans="1:26" ht="14.25" customHeight="1" x14ac:dyDescent="0.35">
      <c r="A29" s="16" t="s">
        <v>136</v>
      </c>
      <c r="B29" s="16">
        <v>29</v>
      </c>
      <c r="C29" s="16" t="s">
        <v>319</v>
      </c>
      <c r="D29" s="16" t="s">
        <v>27</v>
      </c>
      <c r="E29" s="16" t="s">
        <v>28</v>
      </c>
      <c r="F29" s="16" t="s">
        <v>29</v>
      </c>
      <c r="G29" s="16" t="s">
        <v>30</v>
      </c>
      <c r="H29" s="16" t="s">
        <v>107</v>
      </c>
      <c r="I29" s="16" t="s">
        <v>32</v>
      </c>
      <c r="J29" s="16" t="s">
        <v>92</v>
      </c>
      <c r="K29" s="16" t="s">
        <v>34</v>
      </c>
      <c r="L29" s="16" t="s">
        <v>50</v>
      </c>
      <c r="M29" s="16">
        <v>2</v>
      </c>
      <c r="N29" s="16" t="s">
        <v>88</v>
      </c>
      <c r="O29" s="16" t="s">
        <v>104</v>
      </c>
      <c r="P29" s="16" t="s">
        <v>51</v>
      </c>
      <c r="Q29" s="16" t="s">
        <v>94</v>
      </c>
      <c r="R29" s="16" t="s">
        <v>101</v>
      </c>
      <c r="S29" s="16" t="s">
        <v>32</v>
      </c>
      <c r="T29" s="16">
        <v>1</v>
      </c>
      <c r="U29" s="16" t="s">
        <v>121</v>
      </c>
      <c r="V29" s="16" t="s">
        <v>84</v>
      </c>
      <c r="W29" s="16" t="s">
        <v>74</v>
      </c>
      <c r="X29" s="16" t="s">
        <v>84</v>
      </c>
      <c r="Y29" s="16" t="s">
        <v>122</v>
      </c>
      <c r="Z29" s="16"/>
    </row>
    <row r="30" spans="1:26" ht="14.25" customHeight="1" x14ac:dyDescent="0.35">
      <c r="A30" s="16" t="s">
        <v>137</v>
      </c>
      <c r="B30" s="16">
        <v>15</v>
      </c>
      <c r="C30" s="16" t="s">
        <v>315</v>
      </c>
      <c r="D30" s="16" t="s">
        <v>27</v>
      </c>
      <c r="E30" s="16" t="s">
        <v>55</v>
      </c>
      <c r="F30" s="16" t="s">
        <v>29</v>
      </c>
      <c r="G30" s="16" t="s">
        <v>47</v>
      </c>
      <c r="H30" s="16" t="s">
        <v>31</v>
      </c>
      <c r="I30" s="16" t="s">
        <v>32</v>
      </c>
      <c r="J30" s="16" t="s">
        <v>33</v>
      </c>
      <c r="K30" s="16" t="s">
        <v>34</v>
      </c>
      <c r="L30" s="16" t="s">
        <v>318</v>
      </c>
      <c r="M30" s="16">
        <v>5</v>
      </c>
      <c r="N30" s="16" t="s">
        <v>36</v>
      </c>
      <c r="O30" s="16" t="s">
        <v>37</v>
      </c>
      <c r="P30" s="16" t="s">
        <v>58</v>
      </c>
      <c r="Q30" s="16" t="s">
        <v>59</v>
      </c>
      <c r="R30" s="16" t="s">
        <v>53</v>
      </c>
      <c r="S30" s="16" t="s">
        <v>32</v>
      </c>
      <c r="T30" s="16">
        <v>4</v>
      </c>
      <c r="U30" s="16" t="s">
        <v>60</v>
      </c>
      <c r="V30" s="16" t="s">
        <v>84</v>
      </c>
      <c r="W30" s="16" t="s">
        <v>32</v>
      </c>
      <c r="X30" s="16" t="s">
        <v>84</v>
      </c>
      <c r="Y30" s="16" t="s">
        <v>61</v>
      </c>
      <c r="Z30" s="16"/>
    </row>
    <row r="31" spans="1:26" ht="14.25" customHeight="1" x14ac:dyDescent="0.35">
      <c r="A31" s="16" t="s">
        <v>138</v>
      </c>
      <c r="B31" s="16">
        <v>15</v>
      </c>
      <c r="C31" s="16" t="s">
        <v>315</v>
      </c>
      <c r="D31" s="16" t="s">
        <v>27</v>
      </c>
      <c r="E31" s="16" t="s">
        <v>55</v>
      </c>
      <c r="F31" s="16" t="s">
        <v>29</v>
      </c>
      <c r="G31" s="16" t="s">
        <v>87</v>
      </c>
      <c r="H31" s="16" t="s">
        <v>31</v>
      </c>
      <c r="I31" s="16" t="s">
        <v>32</v>
      </c>
      <c r="J31" s="16" t="s">
        <v>49</v>
      </c>
      <c r="K31" s="16" t="s">
        <v>34</v>
      </c>
      <c r="L31" s="16" t="s">
        <v>318</v>
      </c>
      <c r="M31" s="16">
        <v>2</v>
      </c>
      <c r="N31" s="16" t="s">
        <v>88</v>
      </c>
      <c r="O31" s="16" t="s">
        <v>89</v>
      </c>
      <c r="P31" s="16" t="s">
        <v>51</v>
      </c>
      <c r="Q31" s="16" t="s">
        <v>52</v>
      </c>
      <c r="R31" s="16" t="s">
        <v>116</v>
      </c>
      <c r="S31" s="16" t="s">
        <v>32</v>
      </c>
      <c r="T31" s="16">
        <v>2</v>
      </c>
      <c r="U31" s="16" t="s">
        <v>60</v>
      </c>
      <c r="V31" s="16" t="s">
        <v>84</v>
      </c>
      <c r="W31" s="16" t="s">
        <v>75</v>
      </c>
      <c r="X31" s="16" t="s">
        <v>84</v>
      </c>
      <c r="Y31" s="16" t="s">
        <v>61</v>
      </c>
      <c r="Z31" s="16"/>
    </row>
    <row r="32" spans="1:26" ht="14.25" customHeight="1" x14ac:dyDescent="0.35">
      <c r="A32" s="16" t="s">
        <v>139</v>
      </c>
      <c r="B32" s="16">
        <v>36</v>
      </c>
      <c r="C32" s="16" t="s">
        <v>317</v>
      </c>
      <c r="D32" s="16" t="s">
        <v>27</v>
      </c>
      <c r="E32" s="16" t="s">
        <v>28</v>
      </c>
      <c r="F32" s="16" t="s">
        <v>29</v>
      </c>
      <c r="G32" s="16" t="s">
        <v>87</v>
      </c>
      <c r="H32" s="16" t="s">
        <v>48</v>
      </c>
      <c r="I32" s="16" t="s">
        <v>32</v>
      </c>
      <c r="J32" s="16" t="s">
        <v>92</v>
      </c>
      <c r="K32" s="16" t="s">
        <v>80</v>
      </c>
      <c r="L32" s="16" t="s">
        <v>80</v>
      </c>
      <c r="M32" s="16">
        <v>0</v>
      </c>
      <c r="N32" s="16" t="s">
        <v>81</v>
      </c>
      <c r="O32" s="16" t="s">
        <v>81</v>
      </c>
      <c r="P32" s="16" t="s">
        <v>81</v>
      </c>
      <c r="Q32" s="16" t="s">
        <v>81</v>
      </c>
      <c r="R32" s="16" t="s">
        <v>81</v>
      </c>
      <c r="S32" s="16" t="s">
        <v>74</v>
      </c>
      <c r="T32" s="16" t="s">
        <v>82</v>
      </c>
      <c r="U32" s="16" t="s">
        <v>83</v>
      </c>
      <c r="V32" s="16" t="s">
        <v>114</v>
      </c>
      <c r="W32" s="16" t="s">
        <v>32</v>
      </c>
      <c r="X32" s="16" t="s">
        <v>114</v>
      </c>
      <c r="Y32" s="16" t="s">
        <v>85</v>
      </c>
      <c r="Z32" s="16"/>
    </row>
    <row r="33" spans="1:26" ht="14.25" customHeight="1" x14ac:dyDescent="0.35">
      <c r="A33" s="16" t="s">
        <v>140</v>
      </c>
      <c r="B33" s="16">
        <v>14</v>
      </c>
      <c r="C33" s="16" t="s">
        <v>315</v>
      </c>
      <c r="D33" s="16" t="s">
        <v>27</v>
      </c>
      <c r="E33" s="16" t="s">
        <v>28</v>
      </c>
      <c r="F33" s="16" t="s">
        <v>29</v>
      </c>
      <c r="G33" s="16" t="s">
        <v>87</v>
      </c>
      <c r="H33" s="16" t="s">
        <v>31</v>
      </c>
      <c r="I33" s="16" t="s">
        <v>32</v>
      </c>
      <c r="J33" s="16" t="s">
        <v>92</v>
      </c>
      <c r="K33" s="16" t="s">
        <v>34</v>
      </c>
      <c r="L33" s="16" t="s">
        <v>50</v>
      </c>
      <c r="M33" s="16">
        <v>3</v>
      </c>
      <c r="N33" s="16" t="s">
        <v>93</v>
      </c>
      <c r="O33" s="16" t="s">
        <v>89</v>
      </c>
      <c r="P33" s="16" t="s">
        <v>127</v>
      </c>
      <c r="Q33" s="16" t="s">
        <v>94</v>
      </c>
      <c r="R33" s="16" t="s">
        <v>116</v>
      </c>
      <c r="S33" s="16" t="s">
        <v>32</v>
      </c>
      <c r="T33" s="16">
        <v>2</v>
      </c>
      <c r="U33" s="16" t="s">
        <v>41</v>
      </c>
      <c r="V33" s="16" t="s">
        <v>42</v>
      </c>
      <c r="W33" s="16" t="s">
        <v>74</v>
      </c>
      <c r="X33" s="16" t="s">
        <v>42</v>
      </c>
      <c r="Y33" s="16" t="s">
        <v>43</v>
      </c>
      <c r="Z33" s="16"/>
    </row>
    <row r="34" spans="1:26" ht="14.25" customHeight="1" x14ac:dyDescent="0.35">
      <c r="A34" s="16" t="s">
        <v>141</v>
      </c>
      <c r="B34" s="16">
        <v>14</v>
      </c>
      <c r="C34" s="16" t="s">
        <v>315</v>
      </c>
      <c r="D34" s="16" t="s">
        <v>27</v>
      </c>
      <c r="E34" s="16" t="s">
        <v>55</v>
      </c>
      <c r="F34" s="16" t="s">
        <v>68</v>
      </c>
      <c r="G34" s="16" t="s">
        <v>87</v>
      </c>
      <c r="H34" s="16" t="s">
        <v>31</v>
      </c>
      <c r="I34" s="16" t="s">
        <v>32</v>
      </c>
      <c r="J34" s="16" t="s">
        <v>69</v>
      </c>
      <c r="K34" s="16" t="s">
        <v>34</v>
      </c>
      <c r="L34" s="16" t="s">
        <v>50</v>
      </c>
      <c r="M34" s="16">
        <v>2</v>
      </c>
      <c r="N34" s="16" t="s">
        <v>93</v>
      </c>
      <c r="O34" s="16" t="s">
        <v>142</v>
      </c>
      <c r="P34" s="16" t="s">
        <v>127</v>
      </c>
      <c r="Q34" s="16" t="s">
        <v>94</v>
      </c>
      <c r="R34" s="16" t="s">
        <v>101</v>
      </c>
      <c r="S34" s="16" t="s">
        <v>32</v>
      </c>
      <c r="T34" s="16">
        <v>2</v>
      </c>
      <c r="U34" s="16" t="s">
        <v>60</v>
      </c>
      <c r="V34" s="16" t="s">
        <v>98</v>
      </c>
      <c r="W34" s="16" t="s">
        <v>74</v>
      </c>
      <c r="X34" s="16" t="s">
        <v>98</v>
      </c>
      <c r="Y34" s="16" t="s">
        <v>61</v>
      </c>
      <c r="Z34" s="16"/>
    </row>
    <row r="35" spans="1:26" ht="14.25" customHeight="1" x14ac:dyDescent="0.35">
      <c r="A35" s="16" t="s">
        <v>143</v>
      </c>
      <c r="B35" s="16">
        <v>46</v>
      </c>
      <c r="C35" s="16" t="s">
        <v>316</v>
      </c>
      <c r="D35" s="16" t="s">
        <v>27</v>
      </c>
      <c r="E35" s="16" t="s">
        <v>78</v>
      </c>
      <c r="F35" s="16" t="s">
        <v>56</v>
      </c>
      <c r="G35" s="16" t="s">
        <v>87</v>
      </c>
      <c r="H35" s="16" t="s">
        <v>48</v>
      </c>
      <c r="I35" s="16" t="s">
        <v>32</v>
      </c>
      <c r="J35" s="16" t="s">
        <v>73</v>
      </c>
      <c r="K35" s="16" t="s">
        <v>34</v>
      </c>
      <c r="L35" s="16" t="s">
        <v>318</v>
      </c>
      <c r="M35" s="16">
        <v>4</v>
      </c>
      <c r="N35" s="16" t="s">
        <v>88</v>
      </c>
      <c r="O35" s="16" t="s">
        <v>89</v>
      </c>
      <c r="P35" s="16" t="s">
        <v>64</v>
      </c>
      <c r="Q35" s="16" t="s">
        <v>52</v>
      </c>
      <c r="R35" s="16" t="s">
        <v>40</v>
      </c>
      <c r="S35" s="16" t="s">
        <v>74</v>
      </c>
      <c r="T35" s="16">
        <v>3</v>
      </c>
      <c r="U35" s="16" t="s">
        <v>60</v>
      </c>
      <c r="V35" s="16" t="s">
        <v>84</v>
      </c>
      <c r="W35" s="16" t="s">
        <v>74</v>
      </c>
      <c r="X35" s="16" t="s">
        <v>84</v>
      </c>
      <c r="Y35" s="16" t="s">
        <v>76</v>
      </c>
      <c r="Z35" s="16"/>
    </row>
    <row r="36" spans="1:26" ht="14.25" customHeight="1" x14ac:dyDescent="0.35">
      <c r="A36" s="16" t="s">
        <v>144</v>
      </c>
      <c r="B36" s="16">
        <v>39</v>
      </c>
      <c r="C36" s="16" t="s">
        <v>317</v>
      </c>
      <c r="D36" s="16" t="s">
        <v>27</v>
      </c>
      <c r="E36" s="16" t="s">
        <v>28</v>
      </c>
      <c r="F36" s="16" t="s">
        <v>29</v>
      </c>
      <c r="G36" s="16" t="s">
        <v>30</v>
      </c>
      <c r="H36" s="16" t="s">
        <v>48</v>
      </c>
      <c r="I36" s="16" t="s">
        <v>32</v>
      </c>
      <c r="J36" s="16" t="s">
        <v>73</v>
      </c>
      <c r="K36" s="16" t="s">
        <v>34</v>
      </c>
      <c r="L36" s="16" t="s">
        <v>318</v>
      </c>
      <c r="M36" s="16">
        <v>2</v>
      </c>
      <c r="N36" s="16" t="s">
        <v>88</v>
      </c>
      <c r="O36" s="16" t="s">
        <v>104</v>
      </c>
      <c r="P36" s="16" t="s">
        <v>64</v>
      </c>
      <c r="Q36" s="16" t="s">
        <v>52</v>
      </c>
      <c r="R36" s="16" t="s">
        <v>116</v>
      </c>
      <c r="S36" s="16" t="s">
        <v>32</v>
      </c>
      <c r="T36" s="16">
        <v>3</v>
      </c>
      <c r="U36" s="16" t="s">
        <v>110</v>
      </c>
      <c r="V36" s="16" t="s">
        <v>84</v>
      </c>
      <c r="W36" s="16" t="s">
        <v>74</v>
      </c>
      <c r="X36" s="16" t="s">
        <v>84</v>
      </c>
      <c r="Y36" s="16" t="s">
        <v>135</v>
      </c>
      <c r="Z36" s="16"/>
    </row>
    <row r="37" spans="1:26" ht="14.25" customHeight="1" x14ac:dyDescent="0.35">
      <c r="A37" s="16" t="s">
        <v>145</v>
      </c>
      <c r="B37" s="16">
        <v>41</v>
      </c>
      <c r="C37" s="16" t="s">
        <v>316</v>
      </c>
      <c r="D37" s="16" t="s">
        <v>27</v>
      </c>
      <c r="E37" s="16" t="s">
        <v>118</v>
      </c>
      <c r="F37" s="16" t="s">
        <v>56</v>
      </c>
      <c r="G37" s="16" t="s">
        <v>30</v>
      </c>
      <c r="H37" s="16" t="s">
        <v>48</v>
      </c>
      <c r="I37" s="16" t="s">
        <v>74</v>
      </c>
      <c r="J37" s="16" t="s">
        <v>96</v>
      </c>
      <c r="K37" s="16" t="s">
        <v>80</v>
      </c>
      <c r="L37" s="16" t="s">
        <v>80</v>
      </c>
      <c r="M37" s="16">
        <v>0</v>
      </c>
      <c r="N37" s="16" t="s">
        <v>81</v>
      </c>
      <c r="O37" s="16" t="s">
        <v>81</v>
      </c>
      <c r="P37" s="16" t="s">
        <v>81</v>
      </c>
      <c r="Q37" s="16" t="s">
        <v>81</v>
      </c>
      <c r="R37" s="16" t="s">
        <v>81</v>
      </c>
      <c r="S37" s="16" t="s">
        <v>74</v>
      </c>
      <c r="T37" s="16" t="s">
        <v>82</v>
      </c>
      <c r="U37" s="16" t="s">
        <v>97</v>
      </c>
      <c r="V37" s="16" t="s">
        <v>98</v>
      </c>
      <c r="W37" s="16" t="s">
        <v>74</v>
      </c>
      <c r="X37" s="16" t="s">
        <v>98</v>
      </c>
      <c r="Y37" s="16" t="s">
        <v>99</v>
      </c>
      <c r="Z37" s="16"/>
    </row>
    <row r="38" spans="1:26" ht="14.25" customHeight="1" x14ac:dyDescent="0.35">
      <c r="A38" s="16" t="s">
        <v>146</v>
      </c>
      <c r="B38" s="16">
        <v>61</v>
      </c>
      <c r="C38" s="16" t="s">
        <v>63</v>
      </c>
      <c r="D38" s="16" t="s">
        <v>27</v>
      </c>
      <c r="E38" s="16" t="s">
        <v>33</v>
      </c>
      <c r="F38" s="16" t="s">
        <v>68</v>
      </c>
      <c r="G38" s="16" t="s">
        <v>30</v>
      </c>
      <c r="H38" s="16" t="s">
        <v>48</v>
      </c>
      <c r="I38" s="16" t="s">
        <v>32</v>
      </c>
      <c r="J38" s="16" t="s">
        <v>69</v>
      </c>
      <c r="K38" s="16" t="s">
        <v>80</v>
      </c>
      <c r="L38" s="16" t="s">
        <v>80</v>
      </c>
      <c r="M38" s="16">
        <v>0</v>
      </c>
      <c r="N38" s="16" t="s">
        <v>81</v>
      </c>
      <c r="O38" s="16" t="s">
        <v>81</v>
      </c>
      <c r="P38" s="16" t="s">
        <v>81</v>
      </c>
      <c r="Q38" s="16" t="s">
        <v>81</v>
      </c>
      <c r="R38" s="16" t="s">
        <v>81</v>
      </c>
      <c r="S38" s="16" t="s">
        <v>74</v>
      </c>
      <c r="T38" s="16" t="s">
        <v>82</v>
      </c>
      <c r="U38" s="16" t="s">
        <v>147</v>
      </c>
      <c r="V38" s="16" t="s">
        <v>84</v>
      </c>
      <c r="W38" s="16" t="s">
        <v>75</v>
      </c>
      <c r="X38" s="16" t="s">
        <v>84</v>
      </c>
      <c r="Y38" s="16" t="s">
        <v>148</v>
      </c>
      <c r="Z38" s="16"/>
    </row>
    <row r="39" spans="1:26" ht="14.25" customHeight="1" x14ac:dyDescent="0.35">
      <c r="A39" s="16" t="s">
        <v>149</v>
      </c>
      <c r="B39" s="16">
        <v>20</v>
      </c>
      <c r="C39" s="16" t="s">
        <v>319</v>
      </c>
      <c r="D39" s="16" t="s">
        <v>27</v>
      </c>
      <c r="E39" s="16" t="s">
        <v>28</v>
      </c>
      <c r="F39" s="16" t="s">
        <v>29</v>
      </c>
      <c r="G39" s="16" t="s">
        <v>30</v>
      </c>
      <c r="H39" s="16" t="s">
        <v>107</v>
      </c>
      <c r="I39" s="16" t="s">
        <v>32</v>
      </c>
      <c r="J39" s="16" t="s">
        <v>92</v>
      </c>
      <c r="K39" s="16" t="s">
        <v>34</v>
      </c>
      <c r="L39" s="16" t="s">
        <v>318</v>
      </c>
      <c r="M39" s="16">
        <v>2</v>
      </c>
      <c r="N39" s="16" t="s">
        <v>88</v>
      </c>
      <c r="O39" s="16" t="s">
        <v>89</v>
      </c>
      <c r="P39" s="16" t="s">
        <v>51</v>
      </c>
      <c r="Q39" s="16" t="s">
        <v>65</v>
      </c>
      <c r="R39" s="16" t="s">
        <v>101</v>
      </c>
      <c r="S39" s="16" t="s">
        <v>74</v>
      </c>
      <c r="T39" s="16">
        <v>3</v>
      </c>
      <c r="U39" s="16" t="s">
        <v>90</v>
      </c>
      <c r="V39" s="16" t="s">
        <v>84</v>
      </c>
      <c r="W39" s="16" t="s">
        <v>74</v>
      </c>
      <c r="X39" s="16" t="s">
        <v>84</v>
      </c>
      <c r="Y39" s="16" t="s">
        <v>76</v>
      </c>
      <c r="Z39" s="16"/>
    </row>
    <row r="40" spans="1:26" ht="14.25" customHeight="1" x14ac:dyDescent="0.35">
      <c r="A40" s="16" t="s">
        <v>150</v>
      </c>
      <c r="B40" s="16">
        <v>15</v>
      </c>
      <c r="C40" s="16" t="s">
        <v>315</v>
      </c>
      <c r="D40" s="16" t="s">
        <v>27</v>
      </c>
      <c r="E40" s="16" t="s">
        <v>55</v>
      </c>
      <c r="F40" s="16" t="s">
        <v>29</v>
      </c>
      <c r="G40" s="16" t="s">
        <v>87</v>
      </c>
      <c r="H40" s="16" t="s">
        <v>31</v>
      </c>
      <c r="I40" s="16" t="s">
        <v>32</v>
      </c>
      <c r="J40" s="16" t="s">
        <v>49</v>
      </c>
      <c r="K40" s="16" t="s">
        <v>34</v>
      </c>
      <c r="L40" s="16" t="s">
        <v>50</v>
      </c>
      <c r="M40" s="16">
        <v>3</v>
      </c>
      <c r="N40" s="16" t="s">
        <v>93</v>
      </c>
      <c r="O40" s="16" t="s">
        <v>126</v>
      </c>
      <c r="P40" s="16" t="s">
        <v>127</v>
      </c>
      <c r="Q40" s="16" t="s">
        <v>94</v>
      </c>
      <c r="R40" s="16" t="s">
        <v>116</v>
      </c>
      <c r="S40" s="16" t="s">
        <v>32</v>
      </c>
      <c r="T40" s="16">
        <v>2</v>
      </c>
      <c r="U40" s="16" t="s">
        <v>121</v>
      </c>
      <c r="V40" s="16" t="s">
        <v>98</v>
      </c>
      <c r="W40" s="16" t="s">
        <v>74</v>
      </c>
      <c r="X40" s="16" t="s">
        <v>98</v>
      </c>
      <c r="Y40" s="16" t="s">
        <v>122</v>
      </c>
      <c r="Z40" s="16"/>
    </row>
    <row r="41" spans="1:26" ht="14.25" customHeight="1" x14ac:dyDescent="0.35">
      <c r="A41" s="16" t="s">
        <v>151</v>
      </c>
      <c r="B41" s="16">
        <v>16</v>
      </c>
      <c r="C41" s="16" t="s">
        <v>315</v>
      </c>
      <c r="D41" s="16" t="s">
        <v>27</v>
      </c>
      <c r="E41" s="16" t="s">
        <v>28</v>
      </c>
      <c r="F41" s="16" t="s">
        <v>68</v>
      </c>
      <c r="G41" s="16" t="s">
        <v>47</v>
      </c>
      <c r="H41" s="16" t="s">
        <v>31</v>
      </c>
      <c r="I41" s="16" t="s">
        <v>74</v>
      </c>
      <c r="J41" s="16" t="s">
        <v>96</v>
      </c>
      <c r="K41" s="16" t="s">
        <v>80</v>
      </c>
      <c r="L41" s="16" t="s">
        <v>80</v>
      </c>
      <c r="M41" s="16">
        <v>0</v>
      </c>
      <c r="N41" s="16" t="s">
        <v>81</v>
      </c>
      <c r="O41" s="16" t="s">
        <v>81</v>
      </c>
      <c r="P41" s="16" t="s">
        <v>81</v>
      </c>
      <c r="Q41" s="16" t="s">
        <v>81</v>
      </c>
      <c r="R41" s="16" t="s">
        <v>81</v>
      </c>
      <c r="S41" s="16" t="s">
        <v>74</v>
      </c>
      <c r="T41" s="16" t="s">
        <v>82</v>
      </c>
      <c r="U41" s="16" t="s">
        <v>97</v>
      </c>
      <c r="V41" s="16" t="s">
        <v>132</v>
      </c>
      <c r="W41" s="16" t="s">
        <v>32</v>
      </c>
      <c r="X41" s="16" t="s">
        <v>132</v>
      </c>
      <c r="Y41" s="16" t="s">
        <v>99</v>
      </c>
      <c r="Z41" s="16"/>
    </row>
    <row r="42" spans="1:26" ht="14.25" customHeight="1" x14ac:dyDescent="0.35">
      <c r="A42" s="16" t="s">
        <v>152</v>
      </c>
      <c r="B42" s="16">
        <v>60</v>
      </c>
      <c r="C42" s="16" t="s">
        <v>63</v>
      </c>
      <c r="D42" s="16" t="s">
        <v>27</v>
      </c>
      <c r="E42" s="16" t="s">
        <v>33</v>
      </c>
      <c r="F42" s="16" t="s">
        <v>29</v>
      </c>
      <c r="G42" s="16" t="s">
        <v>47</v>
      </c>
      <c r="H42" s="16" t="s">
        <v>48</v>
      </c>
      <c r="I42" s="16" t="s">
        <v>32</v>
      </c>
      <c r="J42" s="16" t="s">
        <v>49</v>
      </c>
      <c r="K42" s="16" t="s">
        <v>34</v>
      </c>
      <c r="L42" s="16" t="s">
        <v>318</v>
      </c>
      <c r="M42" s="16">
        <v>4</v>
      </c>
      <c r="N42" s="16" t="s">
        <v>88</v>
      </c>
      <c r="O42" s="16" t="s">
        <v>104</v>
      </c>
      <c r="P42" s="16" t="s">
        <v>127</v>
      </c>
      <c r="Q42" s="16" t="s">
        <v>65</v>
      </c>
      <c r="R42" s="16" t="s">
        <v>53</v>
      </c>
      <c r="S42" s="16" t="s">
        <v>32</v>
      </c>
      <c r="T42" s="16">
        <v>2</v>
      </c>
      <c r="U42" s="16" t="s">
        <v>41</v>
      </c>
      <c r="V42" s="16" t="s">
        <v>42</v>
      </c>
      <c r="W42" s="16" t="s">
        <v>74</v>
      </c>
      <c r="X42" s="16" t="s">
        <v>42</v>
      </c>
      <c r="Y42" s="16" t="s">
        <v>43</v>
      </c>
      <c r="Z42" s="16"/>
    </row>
    <row r="43" spans="1:26" ht="14.25" customHeight="1" x14ac:dyDescent="0.35">
      <c r="A43" s="16" t="s">
        <v>153</v>
      </c>
      <c r="B43" s="16">
        <v>17</v>
      </c>
      <c r="C43" s="16" t="s">
        <v>315</v>
      </c>
      <c r="D43" s="16" t="s">
        <v>27</v>
      </c>
      <c r="E43" s="16" t="s">
        <v>55</v>
      </c>
      <c r="F43" s="16" t="s">
        <v>29</v>
      </c>
      <c r="G43" s="16" t="s">
        <v>47</v>
      </c>
      <c r="H43" s="16" t="s">
        <v>31</v>
      </c>
      <c r="I43" s="16" t="s">
        <v>32</v>
      </c>
      <c r="J43" s="16" t="s">
        <v>33</v>
      </c>
      <c r="K43" s="16" t="s">
        <v>34</v>
      </c>
      <c r="L43" s="16" t="s">
        <v>50</v>
      </c>
      <c r="M43" s="16">
        <v>3</v>
      </c>
      <c r="N43" s="16" t="s">
        <v>36</v>
      </c>
      <c r="O43" s="16" t="s">
        <v>37</v>
      </c>
      <c r="P43" s="16" t="s">
        <v>58</v>
      </c>
      <c r="Q43" s="16" t="s">
        <v>59</v>
      </c>
      <c r="R43" s="16" t="s">
        <v>40</v>
      </c>
      <c r="S43" s="16" t="s">
        <v>32</v>
      </c>
      <c r="T43" s="16">
        <v>3</v>
      </c>
      <c r="U43" s="16" t="s">
        <v>60</v>
      </c>
      <c r="V43" s="16" t="s">
        <v>114</v>
      </c>
      <c r="W43" s="16" t="s">
        <v>32</v>
      </c>
      <c r="X43" s="16" t="s">
        <v>114</v>
      </c>
      <c r="Y43" s="16" t="s">
        <v>61</v>
      </c>
      <c r="Z43" s="16"/>
    </row>
    <row r="44" spans="1:26" ht="14.25" customHeight="1" x14ac:dyDescent="0.35">
      <c r="A44" s="16" t="s">
        <v>154</v>
      </c>
      <c r="B44" s="16">
        <v>44</v>
      </c>
      <c r="C44" s="16" t="s">
        <v>316</v>
      </c>
      <c r="D44" s="16" t="s">
        <v>27</v>
      </c>
      <c r="E44" s="16" t="s">
        <v>33</v>
      </c>
      <c r="F44" s="16" t="s">
        <v>56</v>
      </c>
      <c r="G44" s="16" t="s">
        <v>47</v>
      </c>
      <c r="H44" s="16" t="s">
        <v>119</v>
      </c>
      <c r="I44" s="16" t="s">
        <v>32</v>
      </c>
      <c r="J44" s="16" t="s">
        <v>79</v>
      </c>
      <c r="K44" s="16" t="s">
        <v>34</v>
      </c>
      <c r="L44" s="16" t="s">
        <v>318</v>
      </c>
      <c r="M44" s="16">
        <v>2</v>
      </c>
      <c r="N44" s="16" t="s">
        <v>88</v>
      </c>
      <c r="O44" s="16" t="s">
        <v>104</v>
      </c>
      <c r="P44" s="16" t="s">
        <v>127</v>
      </c>
      <c r="Q44" s="16" t="s">
        <v>94</v>
      </c>
      <c r="R44" s="16" t="s">
        <v>101</v>
      </c>
      <c r="S44" s="16" t="s">
        <v>32</v>
      </c>
      <c r="T44" s="16">
        <v>1</v>
      </c>
      <c r="U44" s="16" t="s">
        <v>90</v>
      </c>
      <c r="V44" s="16" t="s">
        <v>84</v>
      </c>
      <c r="W44" s="16" t="s">
        <v>74</v>
      </c>
      <c r="X44" s="16" t="s">
        <v>84</v>
      </c>
      <c r="Y44" s="16" t="s">
        <v>108</v>
      </c>
      <c r="Z44" s="16"/>
    </row>
    <row r="45" spans="1:26" ht="14.25" customHeight="1" x14ac:dyDescent="0.35">
      <c r="A45" s="16" t="s">
        <v>155</v>
      </c>
      <c r="B45" s="16">
        <v>57</v>
      </c>
      <c r="C45" s="16" t="s">
        <v>63</v>
      </c>
      <c r="D45" s="16" t="s">
        <v>27</v>
      </c>
      <c r="E45" s="16" t="s">
        <v>78</v>
      </c>
      <c r="F45" s="16" t="s">
        <v>68</v>
      </c>
      <c r="G45" s="16" t="s">
        <v>30</v>
      </c>
      <c r="H45" s="16" t="s">
        <v>48</v>
      </c>
      <c r="I45" s="16" t="s">
        <v>32</v>
      </c>
      <c r="J45" s="16" t="s">
        <v>79</v>
      </c>
      <c r="K45" s="16" t="s">
        <v>80</v>
      </c>
      <c r="L45" s="16" t="s">
        <v>80</v>
      </c>
      <c r="M45" s="16">
        <v>0</v>
      </c>
      <c r="N45" s="16" t="s">
        <v>81</v>
      </c>
      <c r="O45" s="16" t="s">
        <v>81</v>
      </c>
      <c r="P45" s="16" t="s">
        <v>81</v>
      </c>
      <c r="Q45" s="16" t="s">
        <v>81</v>
      </c>
      <c r="R45" s="16" t="s">
        <v>81</v>
      </c>
      <c r="S45" s="16" t="s">
        <v>74</v>
      </c>
      <c r="T45" s="16" t="s">
        <v>82</v>
      </c>
      <c r="U45" s="16" t="s">
        <v>110</v>
      </c>
      <c r="V45" s="16" t="s">
        <v>84</v>
      </c>
      <c r="W45" s="16" t="s">
        <v>75</v>
      </c>
      <c r="X45" s="16" t="s">
        <v>84</v>
      </c>
      <c r="Y45" s="16" t="s">
        <v>111</v>
      </c>
      <c r="Z45" s="16"/>
    </row>
    <row r="46" spans="1:26" ht="14.25" customHeight="1" x14ac:dyDescent="0.35">
      <c r="A46" s="16" t="s">
        <v>156</v>
      </c>
      <c r="B46" s="16">
        <v>18</v>
      </c>
      <c r="C46" s="16" t="s">
        <v>315</v>
      </c>
      <c r="D46" s="16" t="s">
        <v>27</v>
      </c>
      <c r="E46" s="16" t="s">
        <v>55</v>
      </c>
      <c r="F46" s="16" t="s">
        <v>68</v>
      </c>
      <c r="G46" s="16" t="s">
        <v>72</v>
      </c>
      <c r="H46" s="16" t="s">
        <v>107</v>
      </c>
      <c r="I46" s="16" t="s">
        <v>32</v>
      </c>
      <c r="J46" s="16" t="s">
        <v>79</v>
      </c>
      <c r="K46" s="16" t="s">
        <v>34</v>
      </c>
      <c r="L46" s="16" t="s">
        <v>50</v>
      </c>
      <c r="M46" s="16">
        <v>3</v>
      </c>
      <c r="N46" s="16" t="s">
        <v>88</v>
      </c>
      <c r="O46" s="16" t="s">
        <v>89</v>
      </c>
      <c r="P46" s="16" t="s">
        <v>51</v>
      </c>
      <c r="Q46" s="16" t="s">
        <v>65</v>
      </c>
      <c r="R46" s="16" t="s">
        <v>116</v>
      </c>
      <c r="S46" s="16" t="s">
        <v>74</v>
      </c>
      <c r="T46" s="16">
        <v>2</v>
      </c>
      <c r="U46" s="16" t="s">
        <v>60</v>
      </c>
      <c r="V46" s="16" t="s">
        <v>42</v>
      </c>
      <c r="W46" s="16" t="s">
        <v>74</v>
      </c>
      <c r="X46" s="16" t="s">
        <v>42</v>
      </c>
      <c r="Y46" s="16" t="s">
        <v>76</v>
      </c>
      <c r="Z46" s="16"/>
    </row>
    <row r="47" spans="1:26" ht="14.25" customHeight="1" x14ac:dyDescent="0.35">
      <c r="A47" s="16" t="s">
        <v>157</v>
      </c>
      <c r="B47" s="16">
        <v>42</v>
      </c>
      <c r="C47" s="16" t="s">
        <v>316</v>
      </c>
      <c r="D47" s="16" t="s">
        <v>27</v>
      </c>
      <c r="E47" s="16" t="s">
        <v>78</v>
      </c>
      <c r="F47" s="16" t="s">
        <v>29</v>
      </c>
      <c r="G47" s="16" t="s">
        <v>87</v>
      </c>
      <c r="H47" s="16" t="s">
        <v>48</v>
      </c>
      <c r="I47" s="16" t="s">
        <v>32</v>
      </c>
      <c r="J47" s="16" t="s">
        <v>92</v>
      </c>
      <c r="K47" s="16" t="s">
        <v>80</v>
      </c>
      <c r="L47" s="16" t="s">
        <v>80</v>
      </c>
      <c r="M47" s="16">
        <v>0</v>
      </c>
      <c r="N47" s="16" t="s">
        <v>81</v>
      </c>
      <c r="O47" s="16" t="s">
        <v>81</v>
      </c>
      <c r="P47" s="16" t="s">
        <v>81</v>
      </c>
      <c r="Q47" s="16" t="s">
        <v>81</v>
      </c>
      <c r="R47" s="16" t="s">
        <v>81</v>
      </c>
      <c r="S47" s="16" t="s">
        <v>74</v>
      </c>
      <c r="T47" s="16" t="s">
        <v>82</v>
      </c>
      <c r="U47" s="16" t="s">
        <v>83</v>
      </c>
      <c r="V47" s="16" t="s">
        <v>42</v>
      </c>
      <c r="W47" s="16" t="s">
        <v>75</v>
      </c>
      <c r="X47" s="16" t="s">
        <v>42</v>
      </c>
      <c r="Y47" s="16" t="s">
        <v>85</v>
      </c>
      <c r="Z47" s="16"/>
    </row>
    <row r="48" spans="1:26" ht="14.25" customHeight="1" x14ac:dyDescent="0.35">
      <c r="A48" s="16" t="s">
        <v>158</v>
      </c>
      <c r="B48" s="16">
        <v>13</v>
      </c>
      <c r="C48" s="16" t="s">
        <v>315</v>
      </c>
      <c r="D48" s="16" t="s">
        <v>27</v>
      </c>
      <c r="E48" s="16" t="s">
        <v>28</v>
      </c>
      <c r="F48" s="16" t="s">
        <v>46</v>
      </c>
      <c r="G48" s="16" t="s">
        <v>72</v>
      </c>
      <c r="H48" s="16" t="s">
        <v>31</v>
      </c>
      <c r="I48" s="16" t="s">
        <v>74</v>
      </c>
      <c r="J48" s="16" t="s">
        <v>96</v>
      </c>
      <c r="K48" s="16" t="s">
        <v>80</v>
      </c>
      <c r="L48" s="16" t="s">
        <v>80</v>
      </c>
      <c r="M48" s="16">
        <v>0</v>
      </c>
      <c r="N48" s="16" t="s">
        <v>81</v>
      </c>
      <c r="O48" s="16" t="s">
        <v>81</v>
      </c>
      <c r="P48" s="16" t="s">
        <v>81</v>
      </c>
      <c r="Q48" s="16" t="s">
        <v>81</v>
      </c>
      <c r="R48" s="16" t="s">
        <v>81</v>
      </c>
      <c r="S48" s="16" t="s">
        <v>74</v>
      </c>
      <c r="T48" s="16" t="s">
        <v>82</v>
      </c>
      <c r="U48" s="16" t="s">
        <v>97</v>
      </c>
      <c r="V48" s="16" t="s">
        <v>84</v>
      </c>
      <c r="W48" s="16" t="s">
        <v>74</v>
      </c>
      <c r="X48" s="16" t="s">
        <v>84</v>
      </c>
      <c r="Y48" s="16" t="s">
        <v>99</v>
      </c>
      <c r="Z48" s="16"/>
    </row>
    <row r="49" spans="1:26" ht="14.25" customHeight="1" x14ac:dyDescent="0.35">
      <c r="A49" s="16" t="s">
        <v>159</v>
      </c>
      <c r="B49" s="16">
        <v>14</v>
      </c>
      <c r="C49" s="16" t="s">
        <v>315</v>
      </c>
      <c r="D49" s="16" t="s">
        <v>27</v>
      </c>
      <c r="E49" s="16" t="s">
        <v>55</v>
      </c>
      <c r="F49" s="16" t="s">
        <v>29</v>
      </c>
      <c r="G49" s="16" t="s">
        <v>30</v>
      </c>
      <c r="H49" s="16" t="s">
        <v>31</v>
      </c>
      <c r="I49" s="16" t="s">
        <v>32</v>
      </c>
      <c r="J49" s="16" t="s">
        <v>73</v>
      </c>
      <c r="K49" s="16" t="s">
        <v>80</v>
      </c>
      <c r="L49" s="16" t="s">
        <v>80</v>
      </c>
      <c r="M49" s="16">
        <v>0</v>
      </c>
      <c r="N49" s="16" t="s">
        <v>81</v>
      </c>
      <c r="O49" s="16" t="s">
        <v>81</v>
      </c>
      <c r="P49" s="16" t="s">
        <v>81</v>
      </c>
      <c r="Q49" s="16" t="s">
        <v>81</v>
      </c>
      <c r="R49" s="16" t="s">
        <v>81</v>
      </c>
      <c r="S49" s="16" t="s">
        <v>74</v>
      </c>
      <c r="T49" s="16" t="s">
        <v>82</v>
      </c>
      <c r="U49" s="16" t="s">
        <v>147</v>
      </c>
      <c r="V49" s="16" t="s">
        <v>42</v>
      </c>
      <c r="W49" s="16" t="s">
        <v>74</v>
      </c>
      <c r="X49" s="16" t="s">
        <v>42</v>
      </c>
      <c r="Y49" s="16" t="s">
        <v>148</v>
      </c>
      <c r="Z49" s="16"/>
    </row>
    <row r="50" spans="1:26" ht="14.25" customHeight="1" x14ac:dyDescent="0.35">
      <c r="A50" s="16" t="s">
        <v>160</v>
      </c>
      <c r="B50" s="16">
        <v>24</v>
      </c>
      <c r="C50" s="16" t="s">
        <v>319</v>
      </c>
      <c r="D50" s="16" t="s">
        <v>27</v>
      </c>
      <c r="E50" s="16" t="s">
        <v>28</v>
      </c>
      <c r="F50" s="16" t="s">
        <v>46</v>
      </c>
      <c r="G50" s="16" t="s">
        <v>47</v>
      </c>
      <c r="H50" s="16" t="s">
        <v>107</v>
      </c>
      <c r="I50" s="16" t="s">
        <v>74</v>
      </c>
      <c r="J50" s="16" t="s">
        <v>96</v>
      </c>
      <c r="K50" s="16" t="s">
        <v>80</v>
      </c>
      <c r="L50" s="16" t="s">
        <v>80</v>
      </c>
      <c r="M50" s="16">
        <v>0</v>
      </c>
      <c r="N50" s="16" t="s">
        <v>81</v>
      </c>
      <c r="O50" s="16" t="s">
        <v>81</v>
      </c>
      <c r="P50" s="16" t="s">
        <v>81</v>
      </c>
      <c r="Q50" s="16" t="s">
        <v>81</v>
      </c>
      <c r="R50" s="16" t="s">
        <v>81</v>
      </c>
      <c r="S50" s="16" t="s">
        <v>74</v>
      </c>
      <c r="T50" s="16" t="s">
        <v>82</v>
      </c>
      <c r="U50" s="16" t="s">
        <v>97</v>
      </c>
      <c r="V50" s="16" t="s">
        <v>84</v>
      </c>
      <c r="W50" s="16" t="s">
        <v>74</v>
      </c>
      <c r="X50" s="16" t="s">
        <v>84</v>
      </c>
      <c r="Y50" s="16" t="s">
        <v>99</v>
      </c>
      <c r="Z50" s="16"/>
    </row>
    <row r="51" spans="1:26" ht="14.25" customHeight="1" x14ac:dyDescent="0.35">
      <c r="A51" s="16" t="s">
        <v>161</v>
      </c>
      <c r="B51" s="16">
        <v>41</v>
      </c>
      <c r="C51" s="16" t="s">
        <v>316</v>
      </c>
      <c r="D51" s="16" t="s">
        <v>27</v>
      </c>
      <c r="E51" s="16" t="s">
        <v>28</v>
      </c>
      <c r="F51" s="16" t="s">
        <v>68</v>
      </c>
      <c r="G51" s="16" t="s">
        <v>87</v>
      </c>
      <c r="H51" s="16" t="s">
        <v>48</v>
      </c>
      <c r="I51" s="16" t="s">
        <v>32</v>
      </c>
      <c r="J51" s="16" t="s">
        <v>49</v>
      </c>
      <c r="K51" s="16" t="s">
        <v>34</v>
      </c>
      <c r="L51" s="16" t="s">
        <v>50</v>
      </c>
      <c r="M51" s="16">
        <v>1</v>
      </c>
      <c r="N51" s="16" t="s">
        <v>88</v>
      </c>
      <c r="O51" s="16" t="s">
        <v>104</v>
      </c>
      <c r="P51" s="16" t="s">
        <v>51</v>
      </c>
      <c r="Q51" s="16" t="s">
        <v>65</v>
      </c>
      <c r="R51" s="16" t="s">
        <v>101</v>
      </c>
      <c r="S51" s="16" t="s">
        <v>74</v>
      </c>
      <c r="T51" s="16">
        <v>1</v>
      </c>
      <c r="U51" s="16" t="s">
        <v>121</v>
      </c>
      <c r="V51" s="16" t="s">
        <v>84</v>
      </c>
      <c r="W51" s="16" t="s">
        <v>32</v>
      </c>
      <c r="X51" s="16" t="s">
        <v>84</v>
      </c>
      <c r="Y51" s="16" t="s">
        <v>76</v>
      </c>
      <c r="Z51" s="16"/>
    </row>
    <row r="52" spans="1:26" ht="14.25" customHeight="1" x14ac:dyDescent="0.35">
      <c r="A52" s="16" t="s">
        <v>162</v>
      </c>
      <c r="B52" s="16">
        <v>13</v>
      </c>
      <c r="C52" s="16" t="s">
        <v>315</v>
      </c>
      <c r="D52" s="16" t="s">
        <v>27</v>
      </c>
      <c r="E52" s="16" t="s">
        <v>55</v>
      </c>
      <c r="F52" s="16" t="s">
        <v>29</v>
      </c>
      <c r="G52" s="16" t="s">
        <v>30</v>
      </c>
      <c r="H52" s="16" t="s">
        <v>31</v>
      </c>
      <c r="I52" s="16" t="s">
        <v>32</v>
      </c>
      <c r="J52" s="16" t="s">
        <v>49</v>
      </c>
      <c r="K52" s="16" t="s">
        <v>34</v>
      </c>
      <c r="L52" s="16" t="s">
        <v>50</v>
      </c>
      <c r="M52" s="16">
        <v>1</v>
      </c>
      <c r="N52" s="16" t="s">
        <v>88</v>
      </c>
      <c r="O52" s="16" t="s">
        <v>104</v>
      </c>
      <c r="P52" s="16" t="s">
        <v>51</v>
      </c>
      <c r="Q52" s="16" t="s">
        <v>52</v>
      </c>
      <c r="R52" s="16" t="s">
        <v>101</v>
      </c>
      <c r="S52" s="16" t="s">
        <v>32</v>
      </c>
      <c r="T52" s="16">
        <v>2</v>
      </c>
      <c r="U52" s="16" t="s">
        <v>90</v>
      </c>
      <c r="V52" s="16" t="s">
        <v>84</v>
      </c>
      <c r="W52" s="16" t="s">
        <v>74</v>
      </c>
      <c r="X52" s="16" t="s">
        <v>84</v>
      </c>
      <c r="Y52" s="16" t="s">
        <v>108</v>
      </c>
      <c r="Z52" s="16"/>
    </row>
    <row r="53" spans="1:26" ht="14.25" customHeight="1" x14ac:dyDescent="0.35">
      <c r="A53" s="16" t="s">
        <v>163</v>
      </c>
      <c r="B53" s="16">
        <v>20</v>
      </c>
      <c r="C53" s="16" t="s">
        <v>319</v>
      </c>
      <c r="D53" s="16" t="s">
        <v>27</v>
      </c>
      <c r="E53" s="16" t="s">
        <v>28</v>
      </c>
      <c r="F53" s="16" t="s">
        <v>68</v>
      </c>
      <c r="G53" s="16" t="s">
        <v>47</v>
      </c>
      <c r="H53" s="16" t="s">
        <v>107</v>
      </c>
      <c r="I53" s="16" t="s">
        <v>32</v>
      </c>
      <c r="J53" s="16" t="s">
        <v>79</v>
      </c>
      <c r="K53" s="16" t="s">
        <v>34</v>
      </c>
      <c r="L53" s="16" t="s">
        <v>50</v>
      </c>
      <c r="M53" s="16">
        <v>3</v>
      </c>
      <c r="N53" s="16" t="s">
        <v>88</v>
      </c>
      <c r="O53" s="16" t="s">
        <v>89</v>
      </c>
      <c r="P53" s="16" t="s">
        <v>64</v>
      </c>
      <c r="Q53" s="16" t="s">
        <v>52</v>
      </c>
      <c r="R53" s="16" t="s">
        <v>40</v>
      </c>
      <c r="S53" s="16" t="s">
        <v>74</v>
      </c>
      <c r="T53" s="16">
        <v>4</v>
      </c>
      <c r="U53" s="16" t="s">
        <v>60</v>
      </c>
      <c r="V53" s="16" t="s">
        <v>132</v>
      </c>
      <c r="W53" s="16" t="s">
        <v>74</v>
      </c>
      <c r="X53" s="16" t="s">
        <v>132</v>
      </c>
      <c r="Y53" s="16" t="s">
        <v>76</v>
      </c>
      <c r="Z53" s="16"/>
    </row>
    <row r="54" spans="1:26" ht="14.25" customHeight="1" x14ac:dyDescent="0.35">
      <c r="A54" s="16" t="s">
        <v>164</v>
      </c>
      <c r="B54" s="16">
        <v>32</v>
      </c>
      <c r="C54" s="16" t="s">
        <v>317</v>
      </c>
      <c r="D54" s="16" t="s">
        <v>27</v>
      </c>
      <c r="E54" s="16" t="s">
        <v>28</v>
      </c>
      <c r="F54" s="16" t="s">
        <v>46</v>
      </c>
      <c r="G54" s="16" t="s">
        <v>47</v>
      </c>
      <c r="H54" s="16" t="s">
        <v>48</v>
      </c>
      <c r="I54" s="16" t="s">
        <v>74</v>
      </c>
      <c r="J54" s="16" t="s">
        <v>96</v>
      </c>
      <c r="K54" s="16" t="s">
        <v>80</v>
      </c>
      <c r="L54" s="16" t="s">
        <v>80</v>
      </c>
      <c r="M54" s="16">
        <v>0</v>
      </c>
      <c r="N54" s="16" t="s">
        <v>81</v>
      </c>
      <c r="O54" s="16" t="s">
        <v>81</v>
      </c>
      <c r="P54" s="16" t="s">
        <v>81</v>
      </c>
      <c r="Q54" s="16" t="s">
        <v>81</v>
      </c>
      <c r="R54" s="16" t="s">
        <v>81</v>
      </c>
      <c r="S54" s="16" t="s">
        <v>74</v>
      </c>
      <c r="T54" s="16" t="s">
        <v>82</v>
      </c>
      <c r="U54" s="16" t="s">
        <v>97</v>
      </c>
      <c r="V54" s="16" t="s">
        <v>84</v>
      </c>
      <c r="W54" s="16" t="s">
        <v>75</v>
      </c>
      <c r="X54" s="16" t="s">
        <v>84</v>
      </c>
      <c r="Y54" s="16" t="s">
        <v>99</v>
      </c>
      <c r="Z54" s="16"/>
    </row>
    <row r="55" spans="1:26" ht="14.25" customHeight="1" x14ac:dyDescent="0.35">
      <c r="A55" s="16" t="s">
        <v>165</v>
      </c>
      <c r="B55" s="16">
        <v>35</v>
      </c>
      <c r="C55" s="16" t="s">
        <v>317</v>
      </c>
      <c r="D55" s="16" t="s">
        <v>27</v>
      </c>
      <c r="E55" s="16" t="s">
        <v>28</v>
      </c>
      <c r="F55" s="16" t="s">
        <v>68</v>
      </c>
      <c r="G55" s="16" t="s">
        <v>87</v>
      </c>
      <c r="H55" s="16" t="s">
        <v>48</v>
      </c>
      <c r="I55" s="16" t="s">
        <v>32</v>
      </c>
      <c r="J55" s="16" t="s">
        <v>92</v>
      </c>
      <c r="K55" s="16" t="s">
        <v>80</v>
      </c>
      <c r="L55" s="16" t="s">
        <v>80</v>
      </c>
      <c r="M55" s="16">
        <v>0</v>
      </c>
      <c r="N55" s="16" t="s">
        <v>81</v>
      </c>
      <c r="O55" s="16" t="s">
        <v>81</v>
      </c>
      <c r="P55" s="16" t="s">
        <v>81</v>
      </c>
      <c r="Q55" s="16" t="s">
        <v>81</v>
      </c>
      <c r="R55" s="16" t="s">
        <v>81</v>
      </c>
      <c r="S55" s="16" t="s">
        <v>74</v>
      </c>
      <c r="T55" s="16" t="s">
        <v>82</v>
      </c>
      <c r="U55" s="16" t="s">
        <v>110</v>
      </c>
      <c r="V55" s="16" t="s">
        <v>84</v>
      </c>
      <c r="W55" s="16" t="s">
        <v>32</v>
      </c>
      <c r="X55" s="16" t="s">
        <v>84</v>
      </c>
      <c r="Y55" s="16" t="s">
        <v>111</v>
      </c>
      <c r="Z55" s="16"/>
    </row>
    <row r="56" spans="1:26" ht="14.25" customHeight="1" x14ac:dyDescent="0.35">
      <c r="A56" s="16" t="s">
        <v>166</v>
      </c>
      <c r="B56" s="16">
        <v>18</v>
      </c>
      <c r="C56" s="16" t="s">
        <v>315</v>
      </c>
      <c r="D56" s="16" t="s">
        <v>27</v>
      </c>
      <c r="E56" s="16" t="s">
        <v>55</v>
      </c>
      <c r="F56" s="16" t="s">
        <v>68</v>
      </c>
      <c r="G56" s="16" t="s">
        <v>47</v>
      </c>
      <c r="H56" s="16" t="s">
        <v>107</v>
      </c>
      <c r="I56" s="16" t="s">
        <v>32</v>
      </c>
      <c r="J56" s="16" t="s">
        <v>92</v>
      </c>
      <c r="K56" s="16" t="s">
        <v>80</v>
      </c>
      <c r="L56" s="16" t="s">
        <v>80</v>
      </c>
      <c r="M56" s="16">
        <v>0</v>
      </c>
      <c r="N56" s="16" t="s">
        <v>81</v>
      </c>
      <c r="O56" s="16" t="s">
        <v>81</v>
      </c>
      <c r="P56" s="16" t="s">
        <v>81</v>
      </c>
      <c r="Q56" s="16" t="s">
        <v>81</v>
      </c>
      <c r="R56" s="16" t="s">
        <v>81</v>
      </c>
      <c r="S56" s="16" t="s">
        <v>74</v>
      </c>
      <c r="T56" s="16" t="s">
        <v>82</v>
      </c>
      <c r="U56" s="16" t="s">
        <v>147</v>
      </c>
      <c r="V56" s="16" t="s">
        <v>42</v>
      </c>
      <c r="W56" s="16" t="s">
        <v>75</v>
      </c>
      <c r="X56" s="16" t="s">
        <v>42</v>
      </c>
      <c r="Y56" s="16" t="s">
        <v>148</v>
      </c>
      <c r="Z56" s="16"/>
    </row>
    <row r="57" spans="1:26" ht="14.25" customHeight="1" x14ac:dyDescent="0.35">
      <c r="A57" s="16" t="s">
        <v>167</v>
      </c>
      <c r="B57" s="16">
        <v>25</v>
      </c>
      <c r="C57" s="16" t="s">
        <v>319</v>
      </c>
      <c r="D57" s="16" t="s">
        <v>27</v>
      </c>
      <c r="E57" s="16" t="s">
        <v>28</v>
      </c>
      <c r="F57" s="16" t="s">
        <v>46</v>
      </c>
      <c r="G57" s="16" t="s">
        <v>47</v>
      </c>
      <c r="H57" s="16" t="s">
        <v>107</v>
      </c>
      <c r="I57" s="16" t="s">
        <v>32</v>
      </c>
      <c r="J57" s="16" t="s">
        <v>92</v>
      </c>
      <c r="K57" s="16" t="s">
        <v>34</v>
      </c>
      <c r="L57" s="16" t="s">
        <v>50</v>
      </c>
      <c r="M57" s="16">
        <v>3</v>
      </c>
      <c r="N57" s="16" t="s">
        <v>36</v>
      </c>
      <c r="O57" s="16" t="s">
        <v>37</v>
      </c>
      <c r="P57" s="16" t="s">
        <v>64</v>
      </c>
      <c r="Q57" s="16" t="s">
        <v>52</v>
      </c>
      <c r="R57" s="16" t="s">
        <v>40</v>
      </c>
      <c r="S57" s="16" t="s">
        <v>32</v>
      </c>
      <c r="T57" s="16">
        <v>3</v>
      </c>
      <c r="U57" s="16" t="s">
        <v>168</v>
      </c>
      <c r="V57" s="16" t="s">
        <v>84</v>
      </c>
      <c r="W57" s="16" t="s">
        <v>32</v>
      </c>
      <c r="X57" s="16" t="s">
        <v>84</v>
      </c>
      <c r="Y57" s="16" t="s">
        <v>169</v>
      </c>
      <c r="Z57" s="16"/>
    </row>
    <row r="58" spans="1:26" ht="14.25" customHeight="1" x14ac:dyDescent="0.35">
      <c r="A58" s="16" t="s">
        <v>170</v>
      </c>
      <c r="B58" s="16">
        <v>54</v>
      </c>
      <c r="C58" s="16" t="s">
        <v>63</v>
      </c>
      <c r="D58" s="16" t="s">
        <v>27</v>
      </c>
      <c r="E58" s="16" t="s">
        <v>28</v>
      </c>
      <c r="F58" s="16" t="s">
        <v>46</v>
      </c>
      <c r="G58" s="16" t="s">
        <v>47</v>
      </c>
      <c r="H58" s="16" t="s">
        <v>48</v>
      </c>
      <c r="I58" s="16" t="s">
        <v>32</v>
      </c>
      <c r="J58" s="16" t="s">
        <v>73</v>
      </c>
      <c r="K58" s="16" t="s">
        <v>34</v>
      </c>
      <c r="L58" s="16" t="s">
        <v>318</v>
      </c>
      <c r="M58" s="16">
        <v>4</v>
      </c>
      <c r="N58" s="16" t="s">
        <v>36</v>
      </c>
      <c r="O58" s="16" t="s">
        <v>37</v>
      </c>
      <c r="P58" s="16" t="s">
        <v>58</v>
      </c>
      <c r="Q58" s="16" t="s">
        <v>59</v>
      </c>
      <c r="R58" s="16" t="s">
        <v>70</v>
      </c>
      <c r="S58" s="16" t="s">
        <v>32</v>
      </c>
      <c r="T58" s="16">
        <v>4</v>
      </c>
      <c r="U58" s="16" t="s">
        <v>60</v>
      </c>
      <c r="V58" s="16" t="s">
        <v>114</v>
      </c>
      <c r="W58" s="16" t="s">
        <v>32</v>
      </c>
      <c r="X58" s="16" t="s">
        <v>114</v>
      </c>
      <c r="Y58" s="16" t="s">
        <v>61</v>
      </c>
      <c r="Z58" s="16"/>
    </row>
    <row r="59" spans="1:26" ht="14.25" customHeight="1" x14ac:dyDescent="0.35">
      <c r="A59" s="16" t="s">
        <v>171</v>
      </c>
      <c r="B59" s="16">
        <v>17</v>
      </c>
      <c r="C59" s="16" t="s">
        <v>315</v>
      </c>
      <c r="D59" s="16" t="s">
        <v>27</v>
      </c>
      <c r="E59" s="16" t="s">
        <v>55</v>
      </c>
      <c r="F59" s="16" t="s">
        <v>29</v>
      </c>
      <c r="G59" s="16" t="s">
        <v>87</v>
      </c>
      <c r="H59" s="16" t="s">
        <v>31</v>
      </c>
      <c r="I59" s="16" t="s">
        <v>74</v>
      </c>
      <c r="J59" s="16" t="s">
        <v>96</v>
      </c>
      <c r="K59" s="16" t="s">
        <v>80</v>
      </c>
      <c r="L59" s="16" t="s">
        <v>80</v>
      </c>
      <c r="M59" s="16">
        <v>0</v>
      </c>
      <c r="N59" s="16" t="s">
        <v>81</v>
      </c>
      <c r="O59" s="16" t="s">
        <v>81</v>
      </c>
      <c r="P59" s="16" t="s">
        <v>81</v>
      </c>
      <c r="Q59" s="16" t="s">
        <v>81</v>
      </c>
      <c r="R59" s="16" t="s">
        <v>81</v>
      </c>
      <c r="S59" s="16" t="s">
        <v>74</v>
      </c>
      <c r="T59" s="16" t="s">
        <v>82</v>
      </c>
      <c r="U59" s="16" t="s">
        <v>97</v>
      </c>
      <c r="V59" s="16" t="s">
        <v>84</v>
      </c>
      <c r="W59" s="16" t="s">
        <v>74</v>
      </c>
      <c r="X59" s="16" t="s">
        <v>84</v>
      </c>
      <c r="Y59" s="16" t="s">
        <v>99</v>
      </c>
      <c r="Z59" s="16"/>
    </row>
    <row r="60" spans="1:26" ht="14.25" customHeight="1" x14ac:dyDescent="0.35">
      <c r="A60" s="16" t="s">
        <v>172</v>
      </c>
      <c r="B60" s="16">
        <v>63</v>
      </c>
      <c r="C60" s="16" t="s">
        <v>63</v>
      </c>
      <c r="D60" s="16" t="s">
        <v>27</v>
      </c>
      <c r="E60" s="16" t="s">
        <v>33</v>
      </c>
      <c r="F60" s="16" t="s">
        <v>29</v>
      </c>
      <c r="G60" s="16" t="s">
        <v>87</v>
      </c>
      <c r="H60" s="16" t="s">
        <v>119</v>
      </c>
      <c r="I60" s="16" t="s">
        <v>32</v>
      </c>
      <c r="J60" s="16" t="s">
        <v>79</v>
      </c>
      <c r="K60" s="16" t="s">
        <v>34</v>
      </c>
      <c r="L60" s="16" t="s">
        <v>50</v>
      </c>
      <c r="M60" s="16">
        <v>1</v>
      </c>
      <c r="N60" s="16" t="s">
        <v>93</v>
      </c>
      <c r="O60" s="16" t="s">
        <v>142</v>
      </c>
      <c r="P60" s="16" t="s">
        <v>38</v>
      </c>
      <c r="Q60" s="16" t="s">
        <v>94</v>
      </c>
      <c r="R60" s="16" t="s">
        <v>101</v>
      </c>
      <c r="S60" s="16" t="s">
        <v>32</v>
      </c>
      <c r="T60" s="16">
        <v>1</v>
      </c>
      <c r="U60" s="16" t="s">
        <v>90</v>
      </c>
      <c r="V60" s="16" t="s">
        <v>114</v>
      </c>
      <c r="W60" s="16" t="s">
        <v>74</v>
      </c>
      <c r="X60" s="16" t="s">
        <v>114</v>
      </c>
      <c r="Y60" s="16" t="s">
        <v>108</v>
      </c>
      <c r="Z60" s="16"/>
    </row>
    <row r="61" spans="1:26" ht="14.25" customHeight="1" x14ac:dyDescent="0.35">
      <c r="A61" s="16" t="s">
        <v>173</v>
      </c>
      <c r="B61" s="16">
        <v>57</v>
      </c>
      <c r="C61" s="16" t="s">
        <v>63</v>
      </c>
      <c r="D61" s="16" t="s">
        <v>27</v>
      </c>
      <c r="E61" s="16" t="s">
        <v>28</v>
      </c>
      <c r="F61" s="16" t="s">
        <v>68</v>
      </c>
      <c r="G61" s="16" t="s">
        <v>30</v>
      </c>
      <c r="H61" s="16" t="s">
        <v>48</v>
      </c>
      <c r="I61" s="16" t="s">
        <v>32</v>
      </c>
      <c r="J61" s="16" t="s">
        <v>57</v>
      </c>
      <c r="K61" s="16" t="s">
        <v>34</v>
      </c>
      <c r="L61" s="16" t="s">
        <v>50</v>
      </c>
      <c r="M61" s="16">
        <v>3</v>
      </c>
      <c r="N61" s="16" t="s">
        <v>88</v>
      </c>
      <c r="O61" s="16" t="s">
        <v>89</v>
      </c>
      <c r="P61" s="16" t="s">
        <v>64</v>
      </c>
      <c r="Q61" s="16" t="s">
        <v>52</v>
      </c>
      <c r="R61" s="16" t="s">
        <v>116</v>
      </c>
      <c r="S61" s="16" t="s">
        <v>32</v>
      </c>
      <c r="T61" s="16">
        <v>3</v>
      </c>
      <c r="U61" s="16" t="s">
        <v>60</v>
      </c>
      <c r="V61" s="16" t="s">
        <v>132</v>
      </c>
      <c r="W61" s="16" t="s">
        <v>75</v>
      </c>
      <c r="X61" s="16" t="s">
        <v>132</v>
      </c>
      <c r="Y61" s="16" t="s">
        <v>61</v>
      </c>
      <c r="Z61" s="16"/>
    </row>
    <row r="62" spans="1:26" ht="14.25" customHeight="1" x14ac:dyDescent="0.35">
      <c r="A62" s="16" t="s">
        <v>174</v>
      </c>
      <c r="B62" s="16">
        <v>13</v>
      </c>
      <c r="C62" s="16" t="s">
        <v>315</v>
      </c>
      <c r="D62" s="16" t="s">
        <v>27</v>
      </c>
      <c r="E62" s="16" t="s">
        <v>28</v>
      </c>
      <c r="F62" s="16" t="s">
        <v>68</v>
      </c>
      <c r="G62" s="16" t="s">
        <v>47</v>
      </c>
      <c r="H62" s="16" t="s">
        <v>31</v>
      </c>
      <c r="I62" s="16" t="s">
        <v>32</v>
      </c>
      <c r="J62" s="16" t="s">
        <v>49</v>
      </c>
      <c r="K62" s="16" t="s">
        <v>34</v>
      </c>
      <c r="L62" s="16" t="s">
        <v>35</v>
      </c>
      <c r="M62" s="16">
        <v>3</v>
      </c>
      <c r="N62" s="16" t="s">
        <v>88</v>
      </c>
      <c r="O62" s="16" t="s">
        <v>104</v>
      </c>
      <c r="P62" s="16" t="s">
        <v>51</v>
      </c>
      <c r="Q62" s="16" t="s">
        <v>65</v>
      </c>
      <c r="R62" s="16" t="s">
        <v>116</v>
      </c>
      <c r="S62" s="16" t="s">
        <v>32</v>
      </c>
      <c r="T62" s="16">
        <v>3</v>
      </c>
      <c r="U62" s="16" t="s">
        <v>60</v>
      </c>
      <c r="V62" s="16" t="s">
        <v>42</v>
      </c>
      <c r="W62" s="16" t="s">
        <v>74</v>
      </c>
      <c r="X62" s="16" t="s">
        <v>42</v>
      </c>
      <c r="Y62" s="16" t="s">
        <v>61</v>
      </c>
      <c r="Z62" s="16"/>
    </row>
    <row r="63" spans="1:26" ht="14.25" customHeight="1" x14ac:dyDescent="0.35">
      <c r="A63" s="16" t="s">
        <v>175</v>
      </c>
      <c r="B63" s="16">
        <v>41</v>
      </c>
      <c r="C63" s="16" t="s">
        <v>316</v>
      </c>
      <c r="D63" s="16" t="s">
        <v>27</v>
      </c>
      <c r="E63" s="16" t="s">
        <v>78</v>
      </c>
      <c r="F63" s="16" t="s">
        <v>56</v>
      </c>
      <c r="G63" s="16" t="s">
        <v>87</v>
      </c>
      <c r="H63" s="16" t="s">
        <v>48</v>
      </c>
      <c r="I63" s="16" t="s">
        <v>32</v>
      </c>
      <c r="J63" s="16" t="s">
        <v>33</v>
      </c>
      <c r="K63" s="16" t="s">
        <v>34</v>
      </c>
      <c r="L63" s="16" t="s">
        <v>318</v>
      </c>
      <c r="M63" s="16">
        <v>4</v>
      </c>
      <c r="N63" s="16" t="s">
        <v>88</v>
      </c>
      <c r="O63" s="16" t="s">
        <v>104</v>
      </c>
      <c r="P63" s="16" t="s">
        <v>58</v>
      </c>
      <c r="Q63" s="16" t="s">
        <v>39</v>
      </c>
      <c r="R63" s="16" t="s">
        <v>53</v>
      </c>
      <c r="S63" s="16" t="s">
        <v>32</v>
      </c>
      <c r="T63" s="16">
        <v>3</v>
      </c>
      <c r="U63" s="16" t="s">
        <v>168</v>
      </c>
      <c r="V63" s="16" t="s">
        <v>114</v>
      </c>
      <c r="W63" s="16" t="s">
        <v>75</v>
      </c>
      <c r="X63" s="16" t="s">
        <v>114</v>
      </c>
      <c r="Y63" s="16" t="s">
        <v>169</v>
      </c>
      <c r="Z63" s="16"/>
    </row>
    <row r="64" spans="1:26" ht="14.25" customHeight="1" x14ac:dyDescent="0.35">
      <c r="A64" s="16" t="s">
        <v>176</v>
      </c>
      <c r="B64" s="16">
        <v>19</v>
      </c>
      <c r="C64" s="16" t="s">
        <v>315</v>
      </c>
      <c r="D64" s="16" t="s">
        <v>27</v>
      </c>
      <c r="E64" s="16" t="s">
        <v>28</v>
      </c>
      <c r="F64" s="16" t="s">
        <v>56</v>
      </c>
      <c r="G64" s="16" t="s">
        <v>87</v>
      </c>
      <c r="H64" s="16" t="s">
        <v>107</v>
      </c>
      <c r="I64" s="16" t="s">
        <v>32</v>
      </c>
      <c r="J64" s="16" t="s">
        <v>92</v>
      </c>
      <c r="K64" s="16" t="s">
        <v>80</v>
      </c>
      <c r="L64" s="16" t="s">
        <v>80</v>
      </c>
      <c r="M64" s="16">
        <v>0</v>
      </c>
      <c r="N64" s="16" t="s">
        <v>81</v>
      </c>
      <c r="O64" s="16" t="s">
        <v>81</v>
      </c>
      <c r="P64" s="16" t="s">
        <v>81</v>
      </c>
      <c r="Q64" s="16" t="s">
        <v>81</v>
      </c>
      <c r="R64" s="16" t="s">
        <v>81</v>
      </c>
      <c r="S64" s="16" t="s">
        <v>74</v>
      </c>
      <c r="T64" s="16" t="s">
        <v>82</v>
      </c>
      <c r="U64" s="16" t="s">
        <v>110</v>
      </c>
      <c r="V64" s="16" t="s">
        <v>42</v>
      </c>
      <c r="W64" s="16" t="s">
        <v>75</v>
      </c>
      <c r="X64" s="16" t="s">
        <v>42</v>
      </c>
      <c r="Y64" s="16" t="s">
        <v>111</v>
      </c>
      <c r="Z64" s="16"/>
    </row>
    <row r="65" spans="1:26" ht="14.25" customHeight="1" x14ac:dyDescent="0.35">
      <c r="A65" s="16" t="s">
        <v>177</v>
      </c>
      <c r="B65" s="16">
        <v>31</v>
      </c>
      <c r="C65" s="16" t="s">
        <v>317</v>
      </c>
      <c r="D65" s="16" t="s">
        <v>27</v>
      </c>
      <c r="E65" s="16" t="s">
        <v>28</v>
      </c>
      <c r="F65" s="16" t="s">
        <v>29</v>
      </c>
      <c r="G65" s="16" t="s">
        <v>47</v>
      </c>
      <c r="H65" s="16" t="s">
        <v>48</v>
      </c>
      <c r="I65" s="16" t="s">
        <v>32</v>
      </c>
      <c r="J65" s="16" t="s">
        <v>79</v>
      </c>
      <c r="K65" s="16" t="s">
        <v>80</v>
      </c>
      <c r="L65" s="16" t="s">
        <v>80</v>
      </c>
      <c r="M65" s="16">
        <v>0</v>
      </c>
      <c r="N65" s="16" t="s">
        <v>81</v>
      </c>
      <c r="O65" s="16" t="s">
        <v>81</v>
      </c>
      <c r="P65" s="16" t="s">
        <v>81</v>
      </c>
      <c r="Q65" s="16" t="s">
        <v>81</v>
      </c>
      <c r="R65" s="16" t="s">
        <v>81</v>
      </c>
      <c r="S65" s="16" t="s">
        <v>74</v>
      </c>
      <c r="T65" s="16" t="s">
        <v>82</v>
      </c>
      <c r="U65" s="16" t="s">
        <v>147</v>
      </c>
      <c r="V65" s="16" t="s">
        <v>114</v>
      </c>
      <c r="W65" s="16" t="s">
        <v>74</v>
      </c>
      <c r="X65" s="16" t="s">
        <v>114</v>
      </c>
      <c r="Y65" s="16" t="s">
        <v>148</v>
      </c>
      <c r="Z65" s="16"/>
    </row>
    <row r="66" spans="1:26" ht="14.25" customHeight="1" x14ac:dyDescent="0.35">
      <c r="A66" s="16" t="s">
        <v>178</v>
      </c>
      <c r="B66" s="16">
        <v>43</v>
      </c>
      <c r="C66" s="16" t="s">
        <v>316</v>
      </c>
      <c r="D66" s="16" t="s">
        <v>27</v>
      </c>
      <c r="E66" s="16" t="s">
        <v>78</v>
      </c>
      <c r="F66" s="16" t="s">
        <v>68</v>
      </c>
      <c r="G66" s="16" t="s">
        <v>47</v>
      </c>
      <c r="H66" s="16" t="s">
        <v>48</v>
      </c>
      <c r="I66" s="16" t="s">
        <v>32</v>
      </c>
      <c r="J66" s="16" t="s">
        <v>73</v>
      </c>
      <c r="K66" s="16" t="s">
        <v>34</v>
      </c>
      <c r="L66" s="16" t="s">
        <v>50</v>
      </c>
      <c r="M66" s="16">
        <v>4</v>
      </c>
      <c r="N66" s="16" t="s">
        <v>36</v>
      </c>
      <c r="O66" s="16" t="s">
        <v>37</v>
      </c>
      <c r="P66" s="16" t="s">
        <v>58</v>
      </c>
      <c r="Q66" s="16" t="s">
        <v>59</v>
      </c>
      <c r="R66" s="16" t="s">
        <v>40</v>
      </c>
      <c r="S66" s="16" t="s">
        <v>32</v>
      </c>
      <c r="T66" s="16">
        <v>3</v>
      </c>
      <c r="U66" s="16" t="s">
        <v>168</v>
      </c>
      <c r="V66" s="16" t="s">
        <v>84</v>
      </c>
      <c r="W66" s="16" t="s">
        <v>32</v>
      </c>
      <c r="X66" s="16" t="s">
        <v>84</v>
      </c>
      <c r="Y66" s="16" t="s">
        <v>169</v>
      </c>
      <c r="Z66" s="16"/>
    </row>
    <row r="67" spans="1:26" ht="14.25" customHeight="1" x14ac:dyDescent="0.35">
      <c r="A67" s="16" t="s">
        <v>179</v>
      </c>
      <c r="B67" s="16">
        <v>56</v>
      </c>
      <c r="C67" s="16" t="s">
        <v>63</v>
      </c>
      <c r="D67" s="16" t="s">
        <v>27</v>
      </c>
      <c r="E67" s="16" t="s">
        <v>28</v>
      </c>
      <c r="F67" s="16" t="s">
        <v>68</v>
      </c>
      <c r="G67" s="16" t="s">
        <v>87</v>
      </c>
      <c r="H67" s="16" t="s">
        <v>48</v>
      </c>
      <c r="I67" s="16" t="s">
        <v>32</v>
      </c>
      <c r="J67" s="16" t="s">
        <v>92</v>
      </c>
      <c r="K67" s="16" t="s">
        <v>34</v>
      </c>
      <c r="L67" s="16" t="s">
        <v>50</v>
      </c>
      <c r="M67" s="16">
        <v>3</v>
      </c>
      <c r="N67" s="16" t="s">
        <v>93</v>
      </c>
      <c r="O67" s="16" t="s">
        <v>89</v>
      </c>
      <c r="P67" s="16" t="s">
        <v>127</v>
      </c>
      <c r="Q67" s="16" t="s">
        <v>94</v>
      </c>
      <c r="R67" s="16" t="s">
        <v>101</v>
      </c>
      <c r="S67" s="16" t="s">
        <v>32</v>
      </c>
      <c r="T67" s="16">
        <v>1</v>
      </c>
      <c r="U67" s="16" t="s">
        <v>60</v>
      </c>
      <c r="V67" s="16" t="s">
        <v>114</v>
      </c>
      <c r="W67" s="16" t="s">
        <v>74</v>
      </c>
      <c r="X67" s="16" t="s">
        <v>114</v>
      </c>
      <c r="Y67" s="16" t="s">
        <v>61</v>
      </c>
      <c r="Z67" s="16"/>
    </row>
    <row r="68" spans="1:26" ht="14.25" customHeight="1" x14ac:dyDescent="0.35">
      <c r="A68" s="16" t="s">
        <v>180</v>
      </c>
      <c r="B68" s="16">
        <v>16</v>
      </c>
      <c r="C68" s="16" t="s">
        <v>315</v>
      </c>
      <c r="D68" s="16" t="s">
        <v>27</v>
      </c>
      <c r="E68" s="16" t="s">
        <v>55</v>
      </c>
      <c r="F68" s="16" t="s">
        <v>181</v>
      </c>
      <c r="G68" s="16" t="s">
        <v>87</v>
      </c>
      <c r="H68" s="16" t="s">
        <v>31</v>
      </c>
      <c r="I68" s="16" t="s">
        <v>32</v>
      </c>
      <c r="J68" s="16" t="s">
        <v>33</v>
      </c>
      <c r="K68" s="16" t="s">
        <v>80</v>
      </c>
      <c r="L68" s="16" t="s">
        <v>80</v>
      </c>
      <c r="M68" s="16">
        <v>0</v>
      </c>
      <c r="N68" s="16" t="s">
        <v>81</v>
      </c>
      <c r="O68" s="16" t="s">
        <v>81</v>
      </c>
      <c r="P68" s="16" t="s">
        <v>81</v>
      </c>
      <c r="Q68" s="16" t="s">
        <v>81</v>
      </c>
      <c r="R68" s="16" t="s">
        <v>81</v>
      </c>
      <c r="S68" s="16" t="s">
        <v>74</v>
      </c>
      <c r="T68" s="16" t="s">
        <v>82</v>
      </c>
      <c r="U68" s="16" t="s">
        <v>147</v>
      </c>
      <c r="V68" s="16" t="s">
        <v>114</v>
      </c>
      <c r="W68" s="16" t="s">
        <v>74</v>
      </c>
      <c r="X68" s="16" t="s">
        <v>114</v>
      </c>
      <c r="Y68" s="16" t="s">
        <v>148</v>
      </c>
      <c r="Z68" s="16"/>
    </row>
    <row r="69" spans="1:26" ht="14.25" customHeight="1" x14ac:dyDescent="0.35">
      <c r="A69" s="16" t="s">
        <v>182</v>
      </c>
      <c r="B69" s="16">
        <v>18</v>
      </c>
      <c r="C69" s="16" t="s">
        <v>315</v>
      </c>
      <c r="D69" s="16" t="s">
        <v>27</v>
      </c>
      <c r="E69" s="16" t="s">
        <v>28</v>
      </c>
      <c r="F69" s="16" t="s">
        <v>56</v>
      </c>
      <c r="G69" s="16" t="s">
        <v>30</v>
      </c>
      <c r="H69" s="16" t="s">
        <v>107</v>
      </c>
      <c r="I69" s="16" t="s">
        <v>32</v>
      </c>
      <c r="J69" s="16" t="s">
        <v>33</v>
      </c>
      <c r="K69" s="16" t="s">
        <v>34</v>
      </c>
      <c r="L69" s="16" t="s">
        <v>50</v>
      </c>
      <c r="M69" s="16">
        <v>3</v>
      </c>
      <c r="N69" s="16" t="s">
        <v>88</v>
      </c>
      <c r="O69" s="16" t="s">
        <v>89</v>
      </c>
      <c r="P69" s="16" t="s">
        <v>64</v>
      </c>
      <c r="Q69" s="16" t="s">
        <v>52</v>
      </c>
      <c r="R69" s="16" t="s">
        <v>116</v>
      </c>
      <c r="S69" s="16" t="s">
        <v>74</v>
      </c>
      <c r="T69" s="16">
        <v>4</v>
      </c>
      <c r="U69" s="16" t="s">
        <v>60</v>
      </c>
      <c r="V69" s="16" t="s">
        <v>98</v>
      </c>
      <c r="W69" s="16" t="s">
        <v>74</v>
      </c>
      <c r="X69" s="16" t="s">
        <v>98</v>
      </c>
      <c r="Y69" s="16" t="s">
        <v>76</v>
      </c>
      <c r="Z69" s="16"/>
    </row>
    <row r="70" spans="1:26" ht="14.25" customHeight="1" x14ac:dyDescent="0.35">
      <c r="A70" s="16" t="s">
        <v>183</v>
      </c>
      <c r="B70" s="16">
        <v>53</v>
      </c>
      <c r="C70" s="16" t="s">
        <v>63</v>
      </c>
      <c r="D70" s="16" t="s">
        <v>27</v>
      </c>
      <c r="E70" s="16" t="s">
        <v>33</v>
      </c>
      <c r="F70" s="16" t="s">
        <v>29</v>
      </c>
      <c r="G70" s="16" t="s">
        <v>30</v>
      </c>
      <c r="H70" s="16" t="s">
        <v>48</v>
      </c>
      <c r="I70" s="16" t="s">
        <v>32</v>
      </c>
      <c r="J70" s="16" t="s">
        <v>33</v>
      </c>
      <c r="K70" s="16" t="s">
        <v>34</v>
      </c>
      <c r="L70" s="16" t="s">
        <v>318</v>
      </c>
      <c r="M70" s="16">
        <v>3</v>
      </c>
      <c r="N70" s="16" t="s">
        <v>88</v>
      </c>
      <c r="O70" s="16" t="s">
        <v>104</v>
      </c>
      <c r="P70" s="16" t="s">
        <v>64</v>
      </c>
      <c r="Q70" s="16" t="s">
        <v>65</v>
      </c>
      <c r="R70" s="16" t="s">
        <v>116</v>
      </c>
      <c r="S70" s="16" t="s">
        <v>74</v>
      </c>
      <c r="T70" s="16">
        <v>2</v>
      </c>
      <c r="U70" s="16" t="s">
        <v>41</v>
      </c>
      <c r="V70" s="16" t="s">
        <v>84</v>
      </c>
      <c r="W70" s="16" t="s">
        <v>32</v>
      </c>
      <c r="X70" s="16" t="s">
        <v>84</v>
      </c>
      <c r="Y70" s="16" t="s">
        <v>76</v>
      </c>
      <c r="Z70" s="16"/>
    </row>
    <row r="71" spans="1:26" ht="14.25" customHeight="1" x14ac:dyDescent="0.35">
      <c r="A71" s="16" t="s">
        <v>184</v>
      </c>
      <c r="B71" s="16">
        <v>39</v>
      </c>
      <c r="C71" s="16" t="s">
        <v>317</v>
      </c>
      <c r="D71" s="16" t="s">
        <v>27</v>
      </c>
      <c r="E71" s="16" t="s">
        <v>28</v>
      </c>
      <c r="F71" s="16" t="s">
        <v>68</v>
      </c>
      <c r="G71" s="16" t="s">
        <v>30</v>
      </c>
      <c r="H71" s="16" t="s">
        <v>48</v>
      </c>
      <c r="I71" s="16" t="s">
        <v>32</v>
      </c>
      <c r="J71" s="16" t="s">
        <v>33</v>
      </c>
      <c r="K71" s="16" t="s">
        <v>34</v>
      </c>
      <c r="L71" s="16" t="s">
        <v>318</v>
      </c>
      <c r="M71" s="16">
        <v>4</v>
      </c>
      <c r="N71" s="16" t="s">
        <v>88</v>
      </c>
      <c r="O71" s="16" t="s">
        <v>89</v>
      </c>
      <c r="P71" s="16" t="s">
        <v>64</v>
      </c>
      <c r="Q71" s="16" t="s">
        <v>52</v>
      </c>
      <c r="R71" s="16" t="s">
        <v>40</v>
      </c>
      <c r="S71" s="16" t="s">
        <v>74</v>
      </c>
      <c r="T71" s="16">
        <v>2</v>
      </c>
      <c r="U71" s="16" t="s">
        <v>110</v>
      </c>
      <c r="V71" s="16" t="s">
        <v>42</v>
      </c>
      <c r="W71" s="16" t="s">
        <v>32</v>
      </c>
      <c r="X71" s="16" t="s">
        <v>42</v>
      </c>
      <c r="Y71" s="16" t="s">
        <v>76</v>
      </c>
      <c r="Z71" s="16"/>
    </row>
    <row r="72" spans="1:26" ht="14.25" customHeight="1" x14ac:dyDescent="0.35">
      <c r="A72" s="16" t="s">
        <v>185</v>
      </c>
      <c r="B72" s="16">
        <v>13</v>
      </c>
      <c r="C72" s="16" t="s">
        <v>315</v>
      </c>
      <c r="D72" s="16" t="s">
        <v>27</v>
      </c>
      <c r="E72" s="16" t="s">
        <v>55</v>
      </c>
      <c r="F72" s="16" t="s">
        <v>29</v>
      </c>
      <c r="G72" s="16" t="s">
        <v>30</v>
      </c>
      <c r="H72" s="16" t="s">
        <v>31</v>
      </c>
      <c r="I72" s="16" t="s">
        <v>74</v>
      </c>
      <c r="J72" s="16" t="s">
        <v>96</v>
      </c>
      <c r="K72" s="16" t="s">
        <v>80</v>
      </c>
      <c r="L72" s="16" t="s">
        <v>80</v>
      </c>
      <c r="M72" s="16">
        <v>0</v>
      </c>
      <c r="N72" s="16" t="s">
        <v>81</v>
      </c>
      <c r="O72" s="16" t="s">
        <v>81</v>
      </c>
      <c r="P72" s="16" t="s">
        <v>81</v>
      </c>
      <c r="Q72" s="16" t="s">
        <v>81</v>
      </c>
      <c r="R72" s="16" t="s">
        <v>81</v>
      </c>
      <c r="S72" s="16" t="s">
        <v>74</v>
      </c>
      <c r="T72" s="16" t="s">
        <v>82</v>
      </c>
      <c r="U72" s="16" t="s">
        <v>97</v>
      </c>
      <c r="V72" s="16" t="s">
        <v>42</v>
      </c>
      <c r="W72" s="16" t="s">
        <v>75</v>
      </c>
      <c r="X72" s="16" t="s">
        <v>42</v>
      </c>
      <c r="Y72" s="16" t="s">
        <v>99</v>
      </c>
      <c r="Z72" s="16"/>
    </row>
    <row r="73" spans="1:26" ht="14.25" customHeight="1" x14ac:dyDescent="0.35">
      <c r="A73" s="16" t="s">
        <v>186</v>
      </c>
      <c r="B73" s="16">
        <v>16</v>
      </c>
      <c r="C73" s="16" t="s">
        <v>315</v>
      </c>
      <c r="D73" s="16" t="s">
        <v>27</v>
      </c>
      <c r="E73" s="16" t="s">
        <v>28</v>
      </c>
      <c r="F73" s="16" t="s">
        <v>29</v>
      </c>
      <c r="G73" s="16" t="s">
        <v>87</v>
      </c>
      <c r="H73" s="16" t="s">
        <v>31</v>
      </c>
      <c r="I73" s="16" t="s">
        <v>32</v>
      </c>
      <c r="J73" s="16" t="s">
        <v>33</v>
      </c>
      <c r="K73" s="16" t="s">
        <v>34</v>
      </c>
      <c r="L73" s="16" t="s">
        <v>318</v>
      </c>
      <c r="M73" s="16">
        <v>1</v>
      </c>
      <c r="N73" s="16" t="s">
        <v>93</v>
      </c>
      <c r="O73" s="16" t="s">
        <v>142</v>
      </c>
      <c r="P73" s="16" t="s">
        <v>51</v>
      </c>
      <c r="Q73" s="16" t="s">
        <v>65</v>
      </c>
      <c r="R73" s="16" t="s">
        <v>101</v>
      </c>
      <c r="S73" s="16" t="s">
        <v>74</v>
      </c>
      <c r="T73" s="16">
        <v>2</v>
      </c>
      <c r="U73" s="16" t="s">
        <v>60</v>
      </c>
      <c r="V73" s="16" t="s">
        <v>42</v>
      </c>
      <c r="W73" s="16" t="s">
        <v>75</v>
      </c>
      <c r="X73" s="16" t="s">
        <v>42</v>
      </c>
      <c r="Y73" s="16" t="s">
        <v>76</v>
      </c>
      <c r="Z73" s="16"/>
    </row>
    <row r="74" spans="1:26" ht="14.25" customHeight="1" x14ac:dyDescent="0.35">
      <c r="A74" s="16" t="s">
        <v>187</v>
      </c>
      <c r="B74" s="16">
        <v>18</v>
      </c>
      <c r="C74" s="16" t="s">
        <v>315</v>
      </c>
      <c r="D74" s="16" t="s">
        <v>27</v>
      </c>
      <c r="E74" s="16" t="s">
        <v>28</v>
      </c>
      <c r="F74" s="16" t="s">
        <v>181</v>
      </c>
      <c r="G74" s="16" t="s">
        <v>87</v>
      </c>
      <c r="H74" s="16" t="s">
        <v>107</v>
      </c>
      <c r="I74" s="16" t="s">
        <v>32</v>
      </c>
      <c r="J74" s="16" t="s">
        <v>33</v>
      </c>
      <c r="K74" s="16" t="s">
        <v>34</v>
      </c>
      <c r="L74" s="16" t="s">
        <v>318</v>
      </c>
      <c r="M74" s="16">
        <v>4</v>
      </c>
      <c r="N74" s="16" t="s">
        <v>93</v>
      </c>
      <c r="O74" s="16" t="s">
        <v>142</v>
      </c>
      <c r="P74" s="16" t="s">
        <v>51</v>
      </c>
      <c r="Q74" s="16" t="s">
        <v>65</v>
      </c>
      <c r="R74" s="16" t="s">
        <v>53</v>
      </c>
      <c r="S74" s="16" t="s">
        <v>32</v>
      </c>
      <c r="T74" s="16">
        <v>1</v>
      </c>
      <c r="U74" s="16" t="s">
        <v>60</v>
      </c>
      <c r="V74" s="16" t="s">
        <v>98</v>
      </c>
      <c r="W74" s="16" t="s">
        <v>74</v>
      </c>
      <c r="X74" s="16" t="s">
        <v>98</v>
      </c>
      <c r="Y74" s="16" t="s">
        <v>61</v>
      </c>
      <c r="Z74" s="16"/>
    </row>
    <row r="75" spans="1:26" ht="14.25" customHeight="1" x14ac:dyDescent="0.35">
      <c r="A75" s="16" t="s">
        <v>188</v>
      </c>
      <c r="B75" s="16">
        <v>43</v>
      </c>
      <c r="C75" s="16" t="s">
        <v>316</v>
      </c>
      <c r="D75" s="16" t="s">
        <v>27</v>
      </c>
      <c r="E75" s="16" t="s">
        <v>28</v>
      </c>
      <c r="F75" s="16" t="s">
        <v>29</v>
      </c>
      <c r="G75" s="16" t="s">
        <v>87</v>
      </c>
      <c r="H75" s="16" t="s">
        <v>48</v>
      </c>
      <c r="I75" s="16" t="s">
        <v>32</v>
      </c>
      <c r="J75" s="16" t="s">
        <v>33</v>
      </c>
      <c r="K75" s="16" t="s">
        <v>34</v>
      </c>
      <c r="L75" s="16" t="s">
        <v>318</v>
      </c>
      <c r="M75" s="16">
        <v>3</v>
      </c>
      <c r="N75" s="16" t="s">
        <v>88</v>
      </c>
      <c r="O75" s="16" t="s">
        <v>89</v>
      </c>
      <c r="P75" s="16" t="s">
        <v>58</v>
      </c>
      <c r="Q75" s="16" t="s">
        <v>59</v>
      </c>
      <c r="R75" s="16" t="s">
        <v>53</v>
      </c>
      <c r="S75" s="16" t="s">
        <v>32</v>
      </c>
      <c r="T75" s="16">
        <v>5</v>
      </c>
      <c r="U75" s="16" t="s">
        <v>60</v>
      </c>
      <c r="V75" s="16" t="s">
        <v>84</v>
      </c>
      <c r="W75" s="16" t="s">
        <v>75</v>
      </c>
      <c r="X75" s="16" t="s">
        <v>84</v>
      </c>
      <c r="Y75" s="16" t="s">
        <v>61</v>
      </c>
      <c r="Z75" s="16"/>
    </row>
    <row r="76" spans="1:26" ht="14.25" customHeight="1" x14ac:dyDescent="0.35">
      <c r="A76" s="16" t="s">
        <v>189</v>
      </c>
      <c r="B76" s="16">
        <v>14</v>
      </c>
      <c r="C76" s="16" t="s">
        <v>315</v>
      </c>
      <c r="D76" s="16" t="s">
        <v>27</v>
      </c>
      <c r="E76" s="16" t="s">
        <v>28</v>
      </c>
      <c r="F76" s="16" t="s">
        <v>29</v>
      </c>
      <c r="G76" s="16" t="s">
        <v>87</v>
      </c>
      <c r="H76" s="16" t="s">
        <v>31</v>
      </c>
      <c r="I76" s="16" t="s">
        <v>32</v>
      </c>
      <c r="J76" s="16" t="s">
        <v>49</v>
      </c>
      <c r="K76" s="16" t="s">
        <v>34</v>
      </c>
      <c r="L76" s="16" t="s">
        <v>318</v>
      </c>
      <c r="M76" s="16">
        <v>4</v>
      </c>
      <c r="N76" s="16" t="s">
        <v>93</v>
      </c>
      <c r="O76" s="16" t="s">
        <v>142</v>
      </c>
      <c r="P76" s="16" t="s">
        <v>51</v>
      </c>
      <c r="Q76" s="16" t="s">
        <v>94</v>
      </c>
      <c r="R76" s="16" t="s">
        <v>116</v>
      </c>
      <c r="S76" s="16" t="s">
        <v>74</v>
      </c>
      <c r="T76" s="16">
        <v>3</v>
      </c>
      <c r="U76" s="16" t="s">
        <v>90</v>
      </c>
      <c r="V76" s="16" t="s">
        <v>42</v>
      </c>
      <c r="W76" s="16" t="s">
        <v>75</v>
      </c>
      <c r="X76" s="16" t="s">
        <v>42</v>
      </c>
      <c r="Y76" s="16" t="s">
        <v>76</v>
      </c>
      <c r="Z76" s="16"/>
    </row>
    <row r="77" spans="1:26" ht="14.25" customHeight="1" x14ac:dyDescent="0.35">
      <c r="A77" s="16" t="s">
        <v>190</v>
      </c>
      <c r="B77" s="16">
        <v>16</v>
      </c>
      <c r="C77" s="16" t="s">
        <v>315</v>
      </c>
      <c r="D77" s="16" t="s">
        <v>27</v>
      </c>
      <c r="E77" s="16" t="s">
        <v>55</v>
      </c>
      <c r="F77" s="16" t="s">
        <v>68</v>
      </c>
      <c r="G77" s="16" t="s">
        <v>30</v>
      </c>
      <c r="H77" s="16" t="s">
        <v>31</v>
      </c>
      <c r="I77" s="16" t="s">
        <v>32</v>
      </c>
      <c r="J77" s="16" t="s">
        <v>92</v>
      </c>
      <c r="K77" s="16" t="s">
        <v>34</v>
      </c>
      <c r="L77" s="16" t="s">
        <v>50</v>
      </c>
      <c r="M77" s="16">
        <v>2</v>
      </c>
      <c r="N77" s="16" t="s">
        <v>93</v>
      </c>
      <c r="O77" s="16" t="s">
        <v>89</v>
      </c>
      <c r="P77" s="16" t="s">
        <v>127</v>
      </c>
      <c r="Q77" s="16" t="s">
        <v>94</v>
      </c>
      <c r="R77" s="16" t="s">
        <v>116</v>
      </c>
      <c r="S77" s="16" t="s">
        <v>74</v>
      </c>
      <c r="T77" s="16">
        <v>1</v>
      </c>
      <c r="U77" s="16" t="s">
        <v>60</v>
      </c>
      <c r="V77" s="16" t="s">
        <v>42</v>
      </c>
      <c r="W77" s="16" t="s">
        <v>74</v>
      </c>
      <c r="X77" s="16" t="s">
        <v>42</v>
      </c>
      <c r="Y77" s="16" t="s">
        <v>76</v>
      </c>
      <c r="Z77" s="16"/>
    </row>
    <row r="78" spans="1:26" ht="14.25" customHeight="1" x14ac:dyDescent="0.35">
      <c r="A78" s="16" t="s">
        <v>191</v>
      </c>
      <c r="B78" s="16">
        <v>36</v>
      </c>
      <c r="C78" s="16" t="s">
        <v>317</v>
      </c>
      <c r="D78" s="16" t="s">
        <v>27</v>
      </c>
      <c r="E78" s="16" t="s">
        <v>78</v>
      </c>
      <c r="F78" s="16" t="s">
        <v>46</v>
      </c>
      <c r="G78" s="16" t="s">
        <v>47</v>
      </c>
      <c r="H78" s="16" t="s">
        <v>48</v>
      </c>
      <c r="I78" s="16" t="s">
        <v>74</v>
      </c>
      <c r="J78" s="16" t="s">
        <v>96</v>
      </c>
      <c r="K78" s="16" t="s">
        <v>80</v>
      </c>
      <c r="L78" s="16" t="s">
        <v>80</v>
      </c>
      <c r="M78" s="16">
        <v>0</v>
      </c>
      <c r="N78" s="16" t="s">
        <v>81</v>
      </c>
      <c r="O78" s="16" t="s">
        <v>81</v>
      </c>
      <c r="P78" s="16" t="s">
        <v>81</v>
      </c>
      <c r="Q78" s="16" t="s">
        <v>81</v>
      </c>
      <c r="R78" s="16" t="s">
        <v>81</v>
      </c>
      <c r="S78" s="16" t="s">
        <v>74</v>
      </c>
      <c r="T78" s="16" t="s">
        <v>82</v>
      </c>
      <c r="U78" s="16" t="s">
        <v>97</v>
      </c>
      <c r="V78" s="16" t="s">
        <v>84</v>
      </c>
      <c r="W78" s="16" t="s">
        <v>75</v>
      </c>
      <c r="X78" s="16" t="s">
        <v>84</v>
      </c>
      <c r="Y78" s="16" t="s">
        <v>99</v>
      </c>
      <c r="Z78" s="16"/>
    </row>
    <row r="79" spans="1:26" ht="14.25" customHeight="1" x14ac:dyDescent="0.35">
      <c r="A79" s="16" t="s">
        <v>192</v>
      </c>
      <c r="B79" s="16">
        <v>65</v>
      </c>
      <c r="C79" s="16" t="s">
        <v>63</v>
      </c>
      <c r="D79" s="16" t="s">
        <v>27</v>
      </c>
      <c r="E79" s="16" t="s">
        <v>28</v>
      </c>
      <c r="F79" s="16" t="s">
        <v>56</v>
      </c>
      <c r="G79" s="16" t="s">
        <v>87</v>
      </c>
      <c r="H79" s="16" t="s">
        <v>48</v>
      </c>
      <c r="I79" s="16" t="s">
        <v>32</v>
      </c>
      <c r="J79" s="16" t="s">
        <v>33</v>
      </c>
      <c r="K79" s="16" t="s">
        <v>34</v>
      </c>
      <c r="L79" s="16" t="s">
        <v>35</v>
      </c>
      <c r="M79" s="16">
        <v>4</v>
      </c>
      <c r="N79" s="16" t="s">
        <v>88</v>
      </c>
      <c r="O79" s="16" t="s">
        <v>104</v>
      </c>
      <c r="P79" s="16" t="s">
        <v>64</v>
      </c>
      <c r="Q79" s="16" t="s">
        <v>59</v>
      </c>
      <c r="R79" s="16" t="s">
        <v>40</v>
      </c>
      <c r="S79" s="16" t="s">
        <v>32</v>
      </c>
      <c r="T79" s="16">
        <v>4</v>
      </c>
      <c r="U79" s="16" t="s">
        <v>41</v>
      </c>
      <c r="V79" s="16" t="s">
        <v>42</v>
      </c>
      <c r="W79" s="16" t="s">
        <v>74</v>
      </c>
      <c r="X79" s="16" t="s">
        <v>42</v>
      </c>
      <c r="Y79" s="16" t="s">
        <v>43</v>
      </c>
      <c r="Z79" s="16"/>
    </row>
    <row r="80" spans="1:26" ht="14.25" customHeight="1" x14ac:dyDescent="0.35">
      <c r="A80" s="16" t="s">
        <v>193</v>
      </c>
      <c r="B80" s="16">
        <v>16</v>
      </c>
      <c r="C80" s="16" t="s">
        <v>315</v>
      </c>
      <c r="D80" s="16" t="s">
        <v>27</v>
      </c>
      <c r="E80" s="16" t="s">
        <v>28</v>
      </c>
      <c r="F80" s="16" t="s">
        <v>29</v>
      </c>
      <c r="G80" s="16" t="s">
        <v>30</v>
      </c>
      <c r="H80" s="16" t="s">
        <v>31</v>
      </c>
      <c r="I80" s="16" t="s">
        <v>32</v>
      </c>
      <c r="J80" s="16" t="s">
        <v>57</v>
      </c>
      <c r="K80" s="16" t="s">
        <v>34</v>
      </c>
      <c r="L80" s="16" t="s">
        <v>50</v>
      </c>
      <c r="M80" s="16">
        <v>4</v>
      </c>
      <c r="N80" s="16" t="s">
        <v>36</v>
      </c>
      <c r="O80" s="16" t="s">
        <v>37</v>
      </c>
      <c r="P80" s="16" t="s">
        <v>58</v>
      </c>
      <c r="Q80" s="16" t="s">
        <v>52</v>
      </c>
      <c r="R80" s="16" t="s">
        <v>40</v>
      </c>
      <c r="S80" s="16" t="s">
        <v>32</v>
      </c>
      <c r="T80" s="16">
        <v>4</v>
      </c>
      <c r="U80" s="16" t="s">
        <v>121</v>
      </c>
      <c r="V80" s="16" t="s">
        <v>132</v>
      </c>
      <c r="W80" s="16" t="s">
        <v>32</v>
      </c>
      <c r="X80" s="16" t="s">
        <v>132</v>
      </c>
      <c r="Y80" s="16" t="s">
        <v>122</v>
      </c>
      <c r="Z80" s="16"/>
    </row>
    <row r="81" spans="1:26" ht="14.25" customHeight="1" x14ac:dyDescent="0.35">
      <c r="A81" s="16" t="s">
        <v>194</v>
      </c>
      <c r="B81" s="16">
        <v>16</v>
      </c>
      <c r="C81" s="16" t="s">
        <v>315</v>
      </c>
      <c r="D81" s="16" t="s">
        <v>27</v>
      </c>
      <c r="E81" s="16" t="s">
        <v>55</v>
      </c>
      <c r="F81" s="16" t="s">
        <v>29</v>
      </c>
      <c r="G81" s="16" t="s">
        <v>87</v>
      </c>
      <c r="H81" s="16" t="s">
        <v>31</v>
      </c>
      <c r="I81" s="16" t="s">
        <v>32</v>
      </c>
      <c r="J81" s="16" t="s">
        <v>73</v>
      </c>
      <c r="K81" s="16" t="s">
        <v>34</v>
      </c>
      <c r="L81" s="16" t="s">
        <v>50</v>
      </c>
      <c r="M81" s="16">
        <v>3</v>
      </c>
      <c r="N81" s="16" t="s">
        <v>93</v>
      </c>
      <c r="O81" s="16" t="s">
        <v>89</v>
      </c>
      <c r="P81" s="16" t="s">
        <v>51</v>
      </c>
      <c r="Q81" s="16" t="s">
        <v>94</v>
      </c>
      <c r="R81" s="16" t="s">
        <v>101</v>
      </c>
      <c r="S81" s="16" t="s">
        <v>32</v>
      </c>
      <c r="T81" s="16">
        <v>1</v>
      </c>
      <c r="U81" s="16" t="s">
        <v>41</v>
      </c>
      <c r="V81" s="16" t="s">
        <v>42</v>
      </c>
      <c r="W81" s="16" t="s">
        <v>75</v>
      </c>
      <c r="X81" s="16" t="s">
        <v>42</v>
      </c>
      <c r="Y81" s="16" t="s">
        <v>43</v>
      </c>
      <c r="Z81" s="16"/>
    </row>
    <row r="82" spans="1:26" ht="14.25" customHeight="1" x14ac:dyDescent="0.35">
      <c r="A82" s="16" t="s">
        <v>195</v>
      </c>
      <c r="B82" s="16">
        <v>13</v>
      </c>
      <c r="C82" s="16" t="s">
        <v>315</v>
      </c>
      <c r="D82" s="16" t="s">
        <v>27</v>
      </c>
      <c r="E82" s="16" t="s">
        <v>55</v>
      </c>
      <c r="F82" s="16" t="s">
        <v>29</v>
      </c>
      <c r="G82" s="16" t="s">
        <v>87</v>
      </c>
      <c r="H82" s="16" t="s">
        <v>31</v>
      </c>
      <c r="I82" s="16" t="s">
        <v>32</v>
      </c>
      <c r="J82" s="16" t="s">
        <v>92</v>
      </c>
      <c r="K82" s="16" t="s">
        <v>34</v>
      </c>
      <c r="L82" s="16" t="s">
        <v>50</v>
      </c>
      <c r="M82" s="16">
        <v>2</v>
      </c>
      <c r="N82" s="16" t="s">
        <v>93</v>
      </c>
      <c r="O82" s="16" t="s">
        <v>142</v>
      </c>
      <c r="P82" s="16" t="s">
        <v>127</v>
      </c>
      <c r="Q82" s="16" t="s">
        <v>65</v>
      </c>
      <c r="R82" s="16" t="s">
        <v>101</v>
      </c>
      <c r="S82" s="16" t="s">
        <v>32</v>
      </c>
      <c r="T82" s="16">
        <v>2</v>
      </c>
      <c r="U82" s="16" t="s">
        <v>90</v>
      </c>
      <c r="V82" s="16" t="s">
        <v>42</v>
      </c>
      <c r="W82" s="16" t="s">
        <v>74</v>
      </c>
      <c r="X82" s="16" t="s">
        <v>42</v>
      </c>
      <c r="Y82" s="16" t="s">
        <v>108</v>
      </c>
      <c r="Z82" s="16"/>
    </row>
    <row r="83" spans="1:26" ht="14.25" customHeight="1" x14ac:dyDescent="0.35">
      <c r="A83" s="16" t="s">
        <v>196</v>
      </c>
      <c r="B83" s="16">
        <v>29</v>
      </c>
      <c r="C83" s="16" t="s">
        <v>319</v>
      </c>
      <c r="D83" s="16" t="s">
        <v>27</v>
      </c>
      <c r="E83" s="16" t="s">
        <v>28</v>
      </c>
      <c r="F83" s="16" t="s">
        <v>29</v>
      </c>
      <c r="G83" s="16" t="s">
        <v>87</v>
      </c>
      <c r="H83" s="16" t="s">
        <v>107</v>
      </c>
      <c r="I83" s="16" t="s">
        <v>74</v>
      </c>
      <c r="J83" s="16" t="s">
        <v>96</v>
      </c>
      <c r="K83" s="16" t="s">
        <v>80</v>
      </c>
      <c r="L83" s="16" t="s">
        <v>80</v>
      </c>
      <c r="M83" s="16">
        <v>0</v>
      </c>
      <c r="N83" s="16" t="s">
        <v>81</v>
      </c>
      <c r="O83" s="16" t="s">
        <v>81</v>
      </c>
      <c r="P83" s="16" t="s">
        <v>81</v>
      </c>
      <c r="Q83" s="16" t="s">
        <v>81</v>
      </c>
      <c r="R83" s="16" t="s">
        <v>81</v>
      </c>
      <c r="S83" s="16" t="s">
        <v>74</v>
      </c>
      <c r="T83" s="16" t="s">
        <v>82</v>
      </c>
      <c r="U83" s="16" t="s">
        <v>97</v>
      </c>
      <c r="V83" s="16" t="s">
        <v>98</v>
      </c>
      <c r="W83" s="16" t="s">
        <v>75</v>
      </c>
      <c r="X83" s="16" t="s">
        <v>98</v>
      </c>
      <c r="Y83" s="16" t="s">
        <v>99</v>
      </c>
      <c r="Z83" s="16"/>
    </row>
    <row r="84" spans="1:26" ht="14.25" customHeight="1" x14ac:dyDescent="0.35">
      <c r="A84" s="16" t="s">
        <v>197</v>
      </c>
      <c r="B84" s="16">
        <v>35</v>
      </c>
      <c r="C84" s="16" t="s">
        <v>317</v>
      </c>
      <c r="D84" s="16" t="s">
        <v>27</v>
      </c>
      <c r="E84" s="16" t="s">
        <v>118</v>
      </c>
      <c r="F84" s="16" t="s">
        <v>46</v>
      </c>
      <c r="G84" s="16" t="s">
        <v>72</v>
      </c>
      <c r="H84" s="16" t="s">
        <v>48</v>
      </c>
      <c r="I84" s="16" t="s">
        <v>32</v>
      </c>
      <c r="J84" s="16" t="s">
        <v>49</v>
      </c>
      <c r="K84" s="16" t="s">
        <v>34</v>
      </c>
      <c r="L84" s="16" t="s">
        <v>318</v>
      </c>
      <c r="M84" s="16">
        <v>5</v>
      </c>
      <c r="N84" s="16" t="s">
        <v>36</v>
      </c>
      <c r="O84" s="16" t="s">
        <v>37</v>
      </c>
      <c r="P84" s="16" t="s">
        <v>51</v>
      </c>
      <c r="Q84" s="16" t="s">
        <v>94</v>
      </c>
      <c r="R84" s="16" t="s">
        <v>53</v>
      </c>
      <c r="S84" s="16" t="s">
        <v>74</v>
      </c>
      <c r="T84" s="16">
        <v>2</v>
      </c>
      <c r="U84" s="16" t="s">
        <v>41</v>
      </c>
      <c r="V84" s="16" t="s">
        <v>84</v>
      </c>
      <c r="W84" s="16" t="s">
        <v>32</v>
      </c>
      <c r="X84" s="16" t="s">
        <v>84</v>
      </c>
      <c r="Y84" s="16" t="s">
        <v>76</v>
      </c>
      <c r="Z84" s="16"/>
    </row>
    <row r="85" spans="1:26" ht="14.25" customHeight="1" x14ac:dyDescent="0.35">
      <c r="A85" s="16" t="s">
        <v>198</v>
      </c>
      <c r="B85" s="16">
        <v>38</v>
      </c>
      <c r="C85" s="16" t="s">
        <v>317</v>
      </c>
      <c r="D85" s="16" t="s">
        <v>27</v>
      </c>
      <c r="E85" s="16" t="s">
        <v>118</v>
      </c>
      <c r="F85" s="16" t="s">
        <v>29</v>
      </c>
      <c r="G85" s="16" t="s">
        <v>47</v>
      </c>
      <c r="H85" s="16" t="s">
        <v>48</v>
      </c>
      <c r="I85" s="16" t="s">
        <v>32</v>
      </c>
      <c r="J85" s="16" t="s">
        <v>49</v>
      </c>
      <c r="K85" s="16" t="s">
        <v>34</v>
      </c>
      <c r="L85" s="16" t="s">
        <v>318</v>
      </c>
      <c r="M85" s="16">
        <v>2</v>
      </c>
      <c r="N85" s="16" t="s">
        <v>36</v>
      </c>
      <c r="O85" s="16" t="s">
        <v>37</v>
      </c>
      <c r="P85" s="16" t="s">
        <v>51</v>
      </c>
      <c r="Q85" s="16" t="s">
        <v>52</v>
      </c>
      <c r="R85" s="16" t="s">
        <v>101</v>
      </c>
      <c r="S85" s="16" t="s">
        <v>32</v>
      </c>
      <c r="T85" s="16">
        <v>2</v>
      </c>
      <c r="U85" s="16" t="s">
        <v>168</v>
      </c>
      <c r="V85" s="16" t="s">
        <v>98</v>
      </c>
      <c r="W85" s="16" t="s">
        <v>32</v>
      </c>
      <c r="X85" s="16" t="s">
        <v>98</v>
      </c>
      <c r="Y85" s="16" t="s">
        <v>169</v>
      </c>
      <c r="Z85" s="16"/>
    </row>
    <row r="86" spans="1:26" ht="14.25" customHeight="1" x14ac:dyDescent="0.35">
      <c r="A86" s="16" t="s">
        <v>199</v>
      </c>
      <c r="B86" s="16">
        <v>29</v>
      </c>
      <c r="C86" s="16" t="s">
        <v>319</v>
      </c>
      <c r="D86" s="16" t="s">
        <v>27</v>
      </c>
      <c r="E86" s="16" t="s">
        <v>28</v>
      </c>
      <c r="F86" s="16" t="s">
        <v>181</v>
      </c>
      <c r="G86" s="16" t="s">
        <v>87</v>
      </c>
      <c r="H86" s="16" t="s">
        <v>107</v>
      </c>
      <c r="I86" s="16" t="s">
        <v>32</v>
      </c>
      <c r="J86" s="16" t="s">
        <v>73</v>
      </c>
      <c r="K86" s="16" t="s">
        <v>34</v>
      </c>
      <c r="L86" s="16" t="s">
        <v>50</v>
      </c>
      <c r="M86" s="16">
        <v>5</v>
      </c>
      <c r="N86" s="16" t="s">
        <v>88</v>
      </c>
      <c r="O86" s="16" t="s">
        <v>104</v>
      </c>
      <c r="P86" s="16" t="s">
        <v>58</v>
      </c>
      <c r="Q86" s="16" t="s">
        <v>59</v>
      </c>
      <c r="R86" s="16" t="s">
        <v>40</v>
      </c>
      <c r="S86" s="16" t="s">
        <v>32</v>
      </c>
      <c r="T86" s="16">
        <v>5</v>
      </c>
      <c r="U86" s="16" t="s">
        <v>41</v>
      </c>
      <c r="V86" s="16" t="s">
        <v>84</v>
      </c>
      <c r="W86" s="16" t="s">
        <v>75</v>
      </c>
      <c r="X86" s="16" t="s">
        <v>84</v>
      </c>
      <c r="Y86" s="16" t="s">
        <v>43</v>
      </c>
      <c r="Z86" s="16"/>
    </row>
    <row r="87" spans="1:26" ht="14.25" customHeight="1" x14ac:dyDescent="0.35">
      <c r="A87" s="16" t="s">
        <v>200</v>
      </c>
      <c r="B87" s="16">
        <v>35</v>
      </c>
      <c r="C87" s="16" t="s">
        <v>317</v>
      </c>
      <c r="D87" s="16" t="s">
        <v>27</v>
      </c>
      <c r="E87" s="16" t="s">
        <v>33</v>
      </c>
      <c r="F87" s="16" t="s">
        <v>68</v>
      </c>
      <c r="G87" s="16" t="s">
        <v>30</v>
      </c>
      <c r="H87" s="16" t="s">
        <v>119</v>
      </c>
      <c r="I87" s="16" t="s">
        <v>32</v>
      </c>
      <c r="J87" s="16" t="s">
        <v>79</v>
      </c>
      <c r="K87" s="16" t="s">
        <v>34</v>
      </c>
      <c r="L87" s="16" t="s">
        <v>50</v>
      </c>
      <c r="M87" s="16">
        <v>2</v>
      </c>
      <c r="N87" s="16" t="s">
        <v>88</v>
      </c>
      <c r="O87" s="16" t="s">
        <v>89</v>
      </c>
      <c r="P87" s="16" t="s">
        <v>127</v>
      </c>
      <c r="Q87" s="16" t="s">
        <v>94</v>
      </c>
      <c r="R87" s="16" t="s">
        <v>101</v>
      </c>
      <c r="S87" s="16" t="s">
        <v>32</v>
      </c>
      <c r="T87" s="16">
        <v>1</v>
      </c>
      <c r="U87" s="16" t="s">
        <v>41</v>
      </c>
      <c r="V87" s="16" t="s">
        <v>98</v>
      </c>
      <c r="W87" s="16" t="s">
        <v>74</v>
      </c>
      <c r="X87" s="16" t="s">
        <v>98</v>
      </c>
      <c r="Y87" s="16" t="s">
        <v>43</v>
      </c>
      <c r="Z87" s="16"/>
    </row>
    <row r="88" spans="1:26" ht="14.25" customHeight="1" x14ac:dyDescent="0.35">
      <c r="A88" s="16" t="s">
        <v>201</v>
      </c>
      <c r="B88" s="16">
        <v>39</v>
      </c>
      <c r="C88" s="16" t="s">
        <v>317</v>
      </c>
      <c r="D88" s="16" t="s">
        <v>27</v>
      </c>
      <c r="E88" s="16" t="s">
        <v>78</v>
      </c>
      <c r="F88" s="16" t="s">
        <v>68</v>
      </c>
      <c r="G88" s="16" t="s">
        <v>87</v>
      </c>
      <c r="H88" s="16" t="s">
        <v>48</v>
      </c>
      <c r="I88" s="16" t="s">
        <v>32</v>
      </c>
      <c r="J88" s="16" t="s">
        <v>49</v>
      </c>
      <c r="K88" s="16" t="s">
        <v>34</v>
      </c>
      <c r="L88" s="16" t="s">
        <v>50</v>
      </c>
      <c r="M88" s="16">
        <v>3</v>
      </c>
      <c r="N88" s="16" t="s">
        <v>88</v>
      </c>
      <c r="O88" s="16" t="s">
        <v>104</v>
      </c>
      <c r="P88" s="16" t="s">
        <v>127</v>
      </c>
      <c r="Q88" s="16" t="s">
        <v>94</v>
      </c>
      <c r="R88" s="16" t="s">
        <v>116</v>
      </c>
      <c r="S88" s="16" t="s">
        <v>32</v>
      </c>
      <c r="T88" s="16">
        <v>1</v>
      </c>
      <c r="U88" s="16" t="s">
        <v>60</v>
      </c>
      <c r="V88" s="16" t="s">
        <v>42</v>
      </c>
      <c r="W88" s="16" t="s">
        <v>74</v>
      </c>
      <c r="X88" s="16" t="s">
        <v>42</v>
      </c>
      <c r="Y88" s="16" t="s">
        <v>61</v>
      </c>
      <c r="Z88" s="16"/>
    </row>
    <row r="89" spans="1:26" ht="14.25" customHeight="1" x14ac:dyDescent="0.35">
      <c r="A89" s="16" t="s">
        <v>202</v>
      </c>
      <c r="B89" s="16">
        <v>33</v>
      </c>
      <c r="C89" s="16" t="s">
        <v>317</v>
      </c>
      <c r="D89" s="16" t="s">
        <v>27</v>
      </c>
      <c r="E89" s="16" t="s">
        <v>78</v>
      </c>
      <c r="F89" s="16" t="s">
        <v>68</v>
      </c>
      <c r="G89" s="16" t="s">
        <v>87</v>
      </c>
      <c r="H89" s="16" t="s">
        <v>48</v>
      </c>
      <c r="I89" s="16" t="s">
        <v>32</v>
      </c>
      <c r="J89" s="16" t="s">
        <v>92</v>
      </c>
      <c r="K89" s="16" t="s">
        <v>34</v>
      </c>
      <c r="L89" s="16" t="s">
        <v>50</v>
      </c>
      <c r="M89" s="16">
        <v>4</v>
      </c>
      <c r="N89" s="16" t="s">
        <v>88</v>
      </c>
      <c r="O89" s="16" t="s">
        <v>89</v>
      </c>
      <c r="P89" s="16" t="s">
        <v>64</v>
      </c>
      <c r="Q89" s="16" t="s">
        <v>52</v>
      </c>
      <c r="R89" s="16" t="s">
        <v>40</v>
      </c>
      <c r="S89" s="16" t="s">
        <v>32</v>
      </c>
      <c r="T89" s="16">
        <v>3</v>
      </c>
      <c r="U89" s="16" t="s">
        <v>168</v>
      </c>
      <c r="V89" s="16" t="s">
        <v>98</v>
      </c>
      <c r="W89" s="16" t="s">
        <v>75</v>
      </c>
      <c r="X89" s="16" t="s">
        <v>98</v>
      </c>
      <c r="Y89" s="16" t="s">
        <v>169</v>
      </c>
      <c r="Z89" s="16"/>
    </row>
    <row r="90" spans="1:26" ht="14.25" customHeight="1" x14ac:dyDescent="0.35">
      <c r="A90" s="16" t="s">
        <v>203</v>
      </c>
      <c r="B90" s="16">
        <v>16</v>
      </c>
      <c r="C90" s="16" t="s">
        <v>315</v>
      </c>
      <c r="D90" s="16" t="s">
        <v>27</v>
      </c>
      <c r="E90" s="16" t="s">
        <v>55</v>
      </c>
      <c r="F90" s="16" t="s">
        <v>29</v>
      </c>
      <c r="G90" s="16" t="s">
        <v>87</v>
      </c>
      <c r="H90" s="16" t="s">
        <v>31</v>
      </c>
      <c r="I90" s="16" t="s">
        <v>32</v>
      </c>
      <c r="J90" s="16" t="s">
        <v>49</v>
      </c>
      <c r="K90" s="16" t="s">
        <v>34</v>
      </c>
      <c r="L90" s="16" t="s">
        <v>318</v>
      </c>
      <c r="M90" s="16">
        <v>3</v>
      </c>
      <c r="N90" s="16" t="s">
        <v>93</v>
      </c>
      <c r="O90" s="16" t="s">
        <v>89</v>
      </c>
      <c r="P90" s="16" t="s">
        <v>127</v>
      </c>
      <c r="Q90" s="16" t="s">
        <v>65</v>
      </c>
      <c r="R90" s="16" t="s">
        <v>116</v>
      </c>
      <c r="S90" s="16" t="s">
        <v>74</v>
      </c>
      <c r="T90" s="16">
        <v>2</v>
      </c>
      <c r="U90" s="16" t="s">
        <v>60</v>
      </c>
      <c r="V90" s="16" t="s">
        <v>84</v>
      </c>
      <c r="W90" s="16" t="s">
        <v>74</v>
      </c>
      <c r="X90" s="16" t="s">
        <v>84</v>
      </c>
      <c r="Y90" s="16" t="s">
        <v>76</v>
      </c>
      <c r="Z90" s="16"/>
    </row>
    <row r="91" spans="1:26" ht="14.25" customHeight="1" x14ac:dyDescent="0.35">
      <c r="A91" s="16" t="s">
        <v>204</v>
      </c>
      <c r="B91" s="16">
        <v>62</v>
      </c>
      <c r="C91" s="16" t="s">
        <v>63</v>
      </c>
      <c r="D91" s="16" t="s">
        <v>27</v>
      </c>
      <c r="E91" s="16" t="s">
        <v>28</v>
      </c>
      <c r="F91" s="16" t="s">
        <v>29</v>
      </c>
      <c r="G91" s="16" t="s">
        <v>87</v>
      </c>
      <c r="H91" s="16" t="s">
        <v>48</v>
      </c>
      <c r="I91" s="16" t="s">
        <v>32</v>
      </c>
      <c r="J91" s="16" t="s">
        <v>92</v>
      </c>
      <c r="K91" s="16" t="s">
        <v>34</v>
      </c>
      <c r="L91" s="16" t="s">
        <v>318</v>
      </c>
      <c r="M91" s="16">
        <v>2</v>
      </c>
      <c r="N91" s="16" t="s">
        <v>93</v>
      </c>
      <c r="O91" s="16" t="s">
        <v>89</v>
      </c>
      <c r="P91" s="16" t="s">
        <v>127</v>
      </c>
      <c r="Q91" s="16" t="s">
        <v>94</v>
      </c>
      <c r="R91" s="16" t="s">
        <v>101</v>
      </c>
      <c r="S91" s="16" t="s">
        <v>74</v>
      </c>
      <c r="T91" s="16">
        <v>1</v>
      </c>
      <c r="U91" s="16" t="s">
        <v>90</v>
      </c>
      <c r="V91" s="16" t="s">
        <v>132</v>
      </c>
      <c r="W91" s="16" t="s">
        <v>74</v>
      </c>
      <c r="X91" s="16" t="s">
        <v>132</v>
      </c>
      <c r="Y91" s="16" t="s">
        <v>76</v>
      </c>
      <c r="Z91" s="16"/>
    </row>
    <row r="92" spans="1:26" ht="14.25" customHeight="1" x14ac:dyDescent="0.35">
      <c r="A92" s="16" t="s">
        <v>205</v>
      </c>
      <c r="B92" s="16">
        <v>28</v>
      </c>
      <c r="C92" s="16" t="s">
        <v>319</v>
      </c>
      <c r="D92" s="16" t="s">
        <v>27</v>
      </c>
      <c r="E92" s="16" t="s">
        <v>78</v>
      </c>
      <c r="F92" s="16" t="s">
        <v>68</v>
      </c>
      <c r="G92" s="16" t="s">
        <v>87</v>
      </c>
      <c r="H92" s="16" t="s">
        <v>107</v>
      </c>
      <c r="I92" s="16" t="s">
        <v>32</v>
      </c>
      <c r="J92" s="16" t="s">
        <v>92</v>
      </c>
      <c r="K92" s="16" t="s">
        <v>34</v>
      </c>
      <c r="L92" s="16" t="s">
        <v>35</v>
      </c>
      <c r="M92" s="16">
        <v>1</v>
      </c>
      <c r="N92" s="16" t="s">
        <v>93</v>
      </c>
      <c r="O92" s="16" t="s">
        <v>142</v>
      </c>
      <c r="P92" s="16" t="s">
        <v>127</v>
      </c>
      <c r="Q92" s="16" t="s">
        <v>94</v>
      </c>
      <c r="R92" s="16" t="s">
        <v>101</v>
      </c>
      <c r="S92" s="16" t="s">
        <v>74</v>
      </c>
      <c r="T92" s="16">
        <v>1</v>
      </c>
      <c r="U92" s="16" t="s">
        <v>168</v>
      </c>
      <c r="V92" s="16" t="s">
        <v>42</v>
      </c>
      <c r="W92" s="16" t="s">
        <v>74</v>
      </c>
      <c r="X92" s="16" t="s">
        <v>42</v>
      </c>
      <c r="Y92" s="16" t="s">
        <v>76</v>
      </c>
      <c r="Z92" s="16"/>
    </row>
    <row r="93" spans="1:26" ht="14.25" customHeight="1" x14ac:dyDescent="0.35">
      <c r="A93" s="16" t="s">
        <v>206</v>
      </c>
      <c r="B93" s="16">
        <v>16</v>
      </c>
      <c r="C93" s="16" t="s">
        <v>315</v>
      </c>
      <c r="D93" s="16" t="s">
        <v>27</v>
      </c>
      <c r="E93" s="16" t="s">
        <v>28</v>
      </c>
      <c r="F93" s="16" t="s">
        <v>29</v>
      </c>
      <c r="G93" s="16" t="s">
        <v>30</v>
      </c>
      <c r="H93" s="16" t="s">
        <v>31</v>
      </c>
      <c r="I93" s="16" t="s">
        <v>32</v>
      </c>
      <c r="J93" s="16" t="s">
        <v>79</v>
      </c>
      <c r="K93" s="16" t="s">
        <v>34</v>
      </c>
      <c r="L93" s="16" t="s">
        <v>318</v>
      </c>
      <c r="M93" s="16">
        <v>3</v>
      </c>
      <c r="N93" s="16" t="s">
        <v>93</v>
      </c>
      <c r="O93" s="16" t="s">
        <v>142</v>
      </c>
      <c r="P93" s="16" t="s">
        <v>127</v>
      </c>
      <c r="Q93" s="16" t="s">
        <v>94</v>
      </c>
      <c r="R93" s="16" t="s">
        <v>101</v>
      </c>
      <c r="S93" s="16" t="s">
        <v>74</v>
      </c>
      <c r="T93" s="16">
        <v>2</v>
      </c>
      <c r="U93" s="16" t="s">
        <v>90</v>
      </c>
      <c r="V93" s="16" t="s">
        <v>84</v>
      </c>
      <c r="W93" s="16" t="s">
        <v>74</v>
      </c>
      <c r="X93" s="16" t="s">
        <v>84</v>
      </c>
      <c r="Y93" s="16" t="s">
        <v>76</v>
      </c>
      <c r="Z93" s="16"/>
    </row>
    <row r="94" spans="1:26" ht="14.25" customHeight="1" x14ac:dyDescent="0.35">
      <c r="A94" s="16" t="s">
        <v>207</v>
      </c>
      <c r="B94" s="16">
        <v>37</v>
      </c>
      <c r="C94" s="16" t="s">
        <v>317</v>
      </c>
      <c r="D94" s="16" t="s">
        <v>27</v>
      </c>
      <c r="E94" s="16" t="s">
        <v>118</v>
      </c>
      <c r="F94" s="16" t="s">
        <v>68</v>
      </c>
      <c r="G94" s="16" t="s">
        <v>72</v>
      </c>
      <c r="H94" s="16" t="s">
        <v>48</v>
      </c>
      <c r="I94" s="16" t="s">
        <v>32</v>
      </c>
      <c r="J94" s="16" t="s">
        <v>92</v>
      </c>
      <c r="K94" s="16" t="s">
        <v>34</v>
      </c>
      <c r="L94" s="16" t="s">
        <v>50</v>
      </c>
      <c r="M94" s="16">
        <v>3</v>
      </c>
      <c r="N94" s="16" t="s">
        <v>36</v>
      </c>
      <c r="O94" s="16" t="s">
        <v>37</v>
      </c>
      <c r="P94" s="16" t="s">
        <v>64</v>
      </c>
      <c r="Q94" s="16" t="s">
        <v>52</v>
      </c>
      <c r="R94" s="16" t="s">
        <v>40</v>
      </c>
      <c r="S94" s="16" t="s">
        <v>32</v>
      </c>
      <c r="T94" s="16">
        <v>2</v>
      </c>
      <c r="U94" s="16" t="s">
        <v>41</v>
      </c>
      <c r="V94" s="16" t="s">
        <v>132</v>
      </c>
      <c r="W94" s="16" t="s">
        <v>75</v>
      </c>
      <c r="X94" s="16" t="s">
        <v>132</v>
      </c>
      <c r="Y94" s="16" t="s">
        <v>43</v>
      </c>
      <c r="Z94" s="16"/>
    </row>
    <row r="95" spans="1:26" ht="14.25" customHeight="1" x14ac:dyDescent="0.35">
      <c r="A95" s="16" t="s">
        <v>208</v>
      </c>
      <c r="B95" s="16">
        <v>15</v>
      </c>
      <c r="C95" s="16" t="s">
        <v>315</v>
      </c>
      <c r="D95" s="16" t="s">
        <v>27</v>
      </c>
      <c r="E95" s="16" t="s">
        <v>28</v>
      </c>
      <c r="F95" s="16" t="s">
        <v>29</v>
      </c>
      <c r="G95" s="16" t="s">
        <v>87</v>
      </c>
      <c r="H95" s="16" t="s">
        <v>31</v>
      </c>
      <c r="I95" s="16" t="s">
        <v>32</v>
      </c>
      <c r="J95" s="16" t="s">
        <v>49</v>
      </c>
      <c r="K95" s="16" t="s">
        <v>34</v>
      </c>
      <c r="L95" s="16" t="s">
        <v>35</v>
      </c>
      <c r="M95" s="16">
        <v>2</v>
      </c>
      <c r="N95" s="16" t="s">
        <v>93</v>
      </c>
      <c r="O95" s="16" t="s">
        <v>126</v>
      </c>
      <c r="P95" s="16" t="s">
        <v>127</v>
      </c>
      <c r="Q95" s="16" t="s">
        <v>65</v>
      </c>
      <c r="R95" s="16" t="s">
        <v>101</v>
      </c>
      <c r="S95" s="16" t="s">
        <v>32</v>
      </c>
      <c r="T95" s="16">
        <v>1</v>
      </c>
      <c r="U95" s="16" t="s">
        <v>60</v>
      </c>
      <c r="V95" s="16" t="s">
        <v>84</v>
      </c>
      <c r="W95" s="16" t="s">
        <v>74</v>
      </c>
      <c r="X95" s="16" t="s">
        <v>84</v>
      </c>
      <c r="Y95" s="16" t="s">
        <v>61</v>
      </c>
      <c r="Z95" s="16"/>
    </row>
    <row r="96" spans="1:26" ht="14.25" customHeight="1" x14ac:dyDescent="0.35">
      <c r="A96" s="16" t="s">
        <v>209</v>
      </c>
      <c r="B96" s="16">
        <v>44</v>
      </c>
      <c r="C96" s="16" t="s">
        <v>316</v>
      </c>
      <c r="D96" s="16" t="s">
        <v>27</v>
      </c>
      <c r="E96" s="16" t="s">
        <v>28</v>
      </c>
      <c r="F96" s="16" t="s">
        <v>181</v>
      </c>
      <c r="G96" s="16" t="s">
        <v>30</v>
      </c>
      <c r="H96" s="16" t="s">
        <v>48</v>
      </c>
      <c r="I96" s="16" t="s">
        <v>32</v>
      </c>
      <c r="J96" s="16" t="s">
        <v>49</v>
      </c>
      <c r="K96" s="16" t="s">
        <v>34</v>
      </c>
      <c r="L96" s="16" t="s">
        <v>35</v>
      </c>
      <c r="M96" s="16">
        <v>2</v>
      </c>
      <c r="N96" s="16" t="s">
        <v>88</v>
      </c>
      <c r="O96" s="16" t="s">
        <v>89</v>
      </c>
      <c r="P96" s="16" t="s">
        <v>127</v>
      </c>
      <c r="Q96" s="16" t="s">
        <v>94</v>
      </c>
      <c r="R96" s="16" t="s">
        <v>101</v>
      </c>
      <c r="S96" s="16" t="s">
        <v>74</v>
      </c>
      <c r="T96" s="16">
        <v>2</v>
      </c>
      <c r="U96" s="16" t="s">
        <v>90</v>
      </c>
      <c r="V96" s="16" t="s">
        <v>84</v>
      </c>
      <c r="W96" s="16" t="s">
        <v>74</v>
      </c>
      <c r="X96" s="16" t="s">
        <v>84</v>
      </c>
      <c r="Y96" s="16" t="s">
        <v>76</v>
      </c>
      <c r="Z96" s="16"/>
    </row>
    <row r="97" spans="1:26" ht="14.25" customHeight="1" x14ac:dyDescent="0.35">
      <c r="A97" s="16" t="s">
        <v>210</v>
      </c>
      <c r="B97" s="16">
        <v>44</v>
      </c>
      <c r="C97" s="16" t="s">
        <v>316</v>
      </c>
      <c r="D97" s="16" t="s">
        <v>27</v>
      </c>
      <c r="E97" s="16" t="s">
        <v>33</v>
      </c>
      <c r="F97" s="16" t="s">
        <v>46</v>
      </c>
      <c r="G97" s="16" t="s">
        <v>72</v>
      </c>
      <c r="H97" s="16" t="s">
        <v>48</v>
      </c>
      <c r="I97" s="16" t="s">
        <v>32</v>
      </c>
      <c r="J97" s="16" t="s">
        <v>92</v>
      </c>
      <c r="K97" s="16" t="s">
        <v>80</v>
      </c>
      <c r="L97" s="16" t="s">
        <v>80</v>
      </c>
      <c r="M97" s="16">
        <v>0</v>
      </c>
      <c r="N97" s="16" t="s">
        <v>81</v>
      </c>
      <c r="O97" s="16" t="s">
        <v>81</v>
      </c>
      <c r="P97" s="16" t="s">
        <v>81</v>
      </c>
      <c r="Q97" s="16" t="s">
        <v>81</v>
      </c>
      <c r="R97" s="16" t="s">
        <v>81</v>
      </c>
      <c r="S97" s="16" t="s">
        <v>74</v>
      </c>
      <c r="T97" s="16" t="s">
        <v>82</v>
      </c>
      <c r="U97" s="16" t="s">
        <v>90</v>
      </c>
      <c r="V97" s="16" t="s">
        <v>84</v>
      </c>
      <c r="W97" s="16" t="s">
        <v>32</v>
      </c>
      <c r="X97" s="16" t="s">
        <v>84</v>
      </c>
      <c r="Y97" s="16" t="s">
        <v>124</v>
      </c>
      <c r="Z97" s="16"/>
    </row>
    <row r="98" spans="1:26" ht="14.25" customHeight="1" x14ac:dyDescent="0.35">
      <c r="A98" s="16" t="s">
        <v>211</v>
      </c>
      <c r="B98" s="16">
        <v>50</v>
      </c>
      <c r="C98" s="16" t="s">
        <v>63</v>
      </c>
      <c r="D98" s="16" t="s">
        <v>27</v>
      </c>
      <c r="E98" s="16" t="s">
        <v>28</v>
      </c>
      <c r="F98" s="16" t="s">
        <v>68</v>
      </c>
      <c r="G98" s="16" t="s">
        <v>72</v>
      </c>
      <c r="H98" s="16" t="s">
        <v>48</v>
      </c>
      <c r="I98" s="16" t="s">
        <v>32</v>
      </c>
      <c r="J98" s="16" t="s">
        <v>49</v>
      </c>
      <c r="K98" s="16" t="s">
        <v>80</v>
      </c>
      <c r="L98" s="16" t="s">
        <v>80</v>
      </c>
      <c r="M98" s="16">
        <v>0</v>
      </c>
      <c r="N98" s="16" t="s">
        <v>81</v>
      </c>
      <c r="O98" s="16" t="s">
        <v>81</v>
      </c>
      <c r="P98" s="16" t="s">
        <v>81</v>
      </c>
      <c r="Q98" s="16" t="s">
        <v>81</v>
      </c>
      <c r="R98" s="16" t="s">
        <v>81</v>
      </c>
      <c r="S98" s="16" t="s">
        <v>74</v>
      </c>
      <c r="T98" s="16" t="s">
        <v>82</v>
      </c>
      <c r="U98" s="16" t="s">
        <v>110</v>
      </c>
      <c r="V98" s="16" t="s">
        <v>84</v>
      </c>
      <c r="W98" s="16" t="s">
        <v>32</v>
      </c>
      <c r="X98" s="16" t="s">
        <v>84</v>
      </c>
      <c r="Y98" s="16" t="s">
        <v>111</v>
      </c>
      <c r="Z98" s="16"/>
    </row>
    <row r="99" spans="1:26" ht="14.25" customHeight="1" x14ac:dyDescent="0.35">
      <c r="A99" s="16" t="s">
        <v>212</v>
      </c>
      <c r="B99" s="16">
        <v>62</v>
      </c>
      <c r="C99" s="16" t="s">
        <v>63</v>
      </c>
      <c r="D99" s="16" t="s">
        <v>27</v>
      </c>
      <c r="E99" s="16" t="s">
        <v>28</v>
      </c>
      <c r="F99" s="16" t="s">
        <v>29</v>
      </c>
      <c r="G99" s="16" t="s">
        <v>47</v>
      </c>
      <c r="H99" s="16" t="s">
        <v>48</v>
      </c>
      <c r="I99" s="16" t="s">
        <v>74</v>
      </c>
      <c r="J99" s="16" t="s">
        <v>96</v>
      </c>
      <c r="K99" s="16" t="s">
        <v>80</v>
      </c>
      <c r="L99" s="16" t="s">
        <v>80</v>
      </c>
      <c r="M99" s="16">
        <v>0</v>
      </c>
      <c r="N99" s="16" t="s">
        <v>81</v>
      </c>
      <c r="O99" s="16" t="s">
        <v>81</v>
      </c>
      <c r="P99" s="16" t="s">
        <v>81</v>
      </c>
      <c r="Q99" s="16" t="s">
        <v>81</v>
      </c>
      <c r="R99" s="16" t="s">
        <v>81</v>
      </c>
      <c r="S99" s="16" t="s">
        <v>74</v>
      </c>
      <c r="T99" s="16" t="s">
        <v>82</v>
      </c>
      <c r="U99" s="16" t="s">
        <v>97</v>
      </c>
      <c r="V99" s="16" t="s">
        <v>42</v>
      </c>
      <c r="W99" s="16" t="s">
        <v>75</v>
      </c>
      <c r="X99" s="16" t="s">
        <v>42</v>
      </c>
      <c r="Y99" s="16" t="s">
        <v>99</v>
      </c>
      <c r="Z99" s="16"/>
    </row>
    <row r="100" spans="1:26" ht="14.25" customHeight="1" x14ac:dyDescent="0.35">
      <c r="A100" s="16" t="s">
        <v>213</v>
      </c>
      <c r="B100" s="16">
        <v>19</v>
      </c>
      <c r="C100" s="16" t="s">
        <v>315</v>
      </c>
      <c r="D100" s="16" t="s">
        <v>27</v>
      </c>
      <c r="E100" s="16" t="s">
        <v>28</v>
      </c>
      <c r="F100" s="16" t="s">
        <v>29</v>
      </c>
      <c r="G100" s="16" t="s">
        <v>87</v>
      </c>
      <c r="H100" s="16" t="s">
        <v>107</v>
      </c>
      <c r="I100" s="16" t="s">
        <v>32</v>
      </c>
      <c r="J100" s="16" t="s">
        <v>79</v>
      </c>
      <c r="K100" s="16" t="s">
        <v>80</v>
      </c>
      <c r="L100" s="16" t="s">
        <v>80</v>
      </c>
      <c r="M100" s="16">
        <v>0</v>
      </c>
      <c r="N100" s="16" t="s">
        <v>81</v>
      </c>
      <c r="O100" s="16" t="s">
        <v>81</v>
      </c>
      <c r="P100" s="16" t="s">
        <v>81</v>
      </c>
      <c r="Q100" s="16" t="s">
        <v>81</v>
      </c>
      <c r="R100" s="16" t="s">
        <v>81</v>
      </c>
      <c r="S100" s="16" t="s">
        <v>74</v>
      </c>
      <c r="T100" s="16" t="s">
        <v>82</v>
      </c>
      <c r="U100" s="16" t="s">
        <v>147</v>
      </c>
      <c r="V100" s="16" t="s">
        <v>42</v>
      </c>
      <c r="W100" s="16" t="s">
        <v>32</v>
      </c>
      <c r="X100" s="16" t="s">
        <v>42</v>
      </c>
      <c r="Y100" s="16" t="s">
        <v>148</v>
      </c>
      <c r="Z100" s="16"/>
    </row>
    <row r="101" spans="1:26" ht="14.25" customHeight="1" x14ac:dyDescent="0.35">
      <c r="A101" s="16" t="s">
        <v>214</v>
      </c>
      <c r="B101" s="16">
        <v>41</v>
      </c>
      <c r="C101" s="16" t="s">
        <v>316</v>
      </c>
      <c r="D101" s="16" t="s">
        <v>27</v>
      </c>
      <c r="E101" s="16" t="s">
        <v>78</v>
      </c>
      <c r="F101" s="16" t="s">
        <v>29</v>
      </c>
      <c r="G101" s="16" t="s">
        <v>87</v>
      </c>
      <c r="H101" s="16" t="s">
        <v>48</v>
      </c>
      <c r="I101" s="16" t="s">
        <v>32</v>
      </c>
      <c r="J101" s="16" t="s">
        <v>79</v>
      </c>
      <c r="K101" s="16" t="s">
        <v>80</v>
      </c>
      <c r="L101" s="16" t="s">
        <v>80</v>
      </c>
      <c r="M101" s="16">
        <v>0</v>
      </c>
      <c r="N101" s="16" t="s">
        <v>81</v>
      </c>
      <c r="O101" s="16" t="s">
        <v>81</v>
      </c>
      <c r="P101" s="16" t="s">
        <v>81</v>
      </c>
      <c r="Q101" s="16" t="s">
        <v>81</v>
      </c>
      <c r="R101" s="16" t="s">
        <v>81</v>
      </c>
      <c r="S101" s="16" t="s">
        <v>74</v>
      </c>
      <c r="T101" s="16" t="s">
        <v>82</v>
      </c>
      <c r="U101" s="16" t="s">
        <v>83</v>
      </c>
      <c r="V101" s="16" t="s">
        <v>98</v>
      </c>
      <c r="W101" s="16" t="s">
        <v>75</v>
      </c>
      <c r="X101" s="16" t="s">
        <v>98</v>
      </c>
      <c r="Y101" s="16" t="s">
        <v>85</v>
      </c>
      <c r="Z101" s="16"/>
    </row>
    <row r="102" spans="1:26" ht="14.25" customHeight="1" x14ac:dyDescent="0.35">
      <c r="A102" s="16" t="s">
        <v>215</v>
      </c>
      <c r="B102" s="16">
        <v>48</v>
      </c>
      <c r="C102" s="16" t="s">
        <v>316</v>
      </c>
      <c r="D102" s="16" t="s">
        <v>27</v>
      </c>
      <c r="E102" s="16" t="s">
        <v>118</v>
      </c>
      <c r="F102" s="16" t="s">
        <v>29</v>
      </c>
      <c r="G102" s="16" t="s">
        <v>47</v>
      </c>
      <c r="H102" s="16" t="s">
        <v>48</v>
      </c>
      <c r="I102" s="16" t="s">
        <v>32</v>
      </c>
      <c r="J102" s="16" t="s">
        <v>79</v>
      </c>
      <c r="K102" s="16" t="s">
        <v>34</v>
      </c>
      <c r="L102" s="16" t="s">
        <v>50</v>
      </c>
      <c r="M102" s="16">
        <v>1</v>
      </c>
      <c r="N102" s="16" t="s">
        <v>36</v>
      </c>
      <c r="O102" s="16" t="s">
        <v>37</v>
      </c>
      <c r="P102" s="16" t="s">
        <v>51</v>
      </c>
      <c r="Q102" s="16" t="s">
        <v>65</v>
      </c>
      <c r="R102" s="16" t="s">
        <v>101</v>
      </c>
      <c r="S102" s="16" t="s">
        <v>32</v>
      </c>
      <c r="T102" s="16">
        <v>3</v>
      </c>
      <c r="U102" s="16" t="s">
        <v>90</v>
      </c>
      <c r="V102" s="16" t="s">
        <v>42</v>
      </c>
      <c r="W102" s="16" t="s">
        <v>75</v>
      </c>
      <c r="X102" s="16" t="s">
        <v>42</v>
      </c>
      <c r="Y102" s="16" t="s">
        <v>108</v>
      </c>
      <c r="Z102" s="16"/>
    </row>
    <row r="103" spans="1:26" ht="14.25" customHeight="1" x14ac:dyDescent="0.35">
      <c r="A103" s="16" t="s">
        <v>216</v>
      </c>
      <c r="B103" s="16">
        <v>27</v>
      </c>
      <c r="C103" s="16" t="s">
        <v>319</v>
      </c>
      <c r="D103" s="16" t="s">
        <v>27</v>
      </c>
      <c r="E103" s="16" t="s">
        <v>78</v>
      </c>
      <c r="F103" s="16" t="s">
        <v>29</v>
      </c>
      <c r="G103" s="16" t="s">
        <v>87</v>
      </c>
      <c r="H103" s="16" t="s">
        <v>107</v>
      </c>
      <c r="I103" s="16" t="s">
        <v>74</v>
      </c>
      <c r="J103" s="16" t="s">
        <v>96</v>
      </c>
      <c r="K103" s="16" t="s">
        <v>80</v>
      </c>
      <c r="L103" s="16" t="s">
        <v>80</v>
      </c>
      <c r="M103" s="16">
        <v>0</v>
      </c>
      <c r="N103" s="16" t="s">
        <v>81</v>
      </c>
      <c r="O103" s="16" t="s">
        <v>81</v>
      </c>
      <c r="P103" s="16" t="s">
        <v>81</v>
      </c>
      <c r="Q103" s="16" t="s">
        <v>81</v>
      </c>
      <c r="R103" s="16" t="s">
        <v>81</v>
      </c>
      <c r="S103" s="16" t="s">
        <v>74</v>
      </c>
      <c r="T103" s="16" t="s">
        <v>82</v>
      </c>
      <c r="U103" s="16" t="s">
        <v>97</v>
      </c>
      <c r="V103" s="16" t="s">
        <v>84</v>
      </c>
      <c r="W103" s="16" t="s">
        <v>74</v>
      </c>
      <c r="X103" s="16" t="s">
        <v>84</v>
      </c>
      <c r="Y103" s="16" t="s">
        <v>99</v>
      </c>
      <c r="Z103" s="16"/>
    </row>
    <row r="104" spans="1:26" ht="14.25" customHeight="1" x14ac:dyDescent="0.35">
      <c r="A104" s="16" t="s">
        <v>217</v>
      </c>
      <c r="B104" s="16">
        <v>35</v>
      </c>
      <c r="C104" s="16" t="s">
        <v>317</v>
      </c>
      <c r="D104" s="16" t="s">
        <v>27</v>
      </c>
      <c r="E104" s="16" t="s">
        <v>78</v>
      </c>
      <c r="F104" s="16" t="s">
        <v>29</v>
      </c>
      <c r="G104" s="16" t="s">
        <v>87</v>
      </c>
      <c r="H104" s="16" t="s">
        <v>48</v>
      </c>
      <c r="I104" s="16" t="s">
        <v>32</v>
      </c>
      <c r="J104" s="16" t="s">
        <v>73</v>
      </c>
      <c r="K104" s="16" t="s">
        <v>34</v>
      </c>
      <c r="L104" s="16" t="s">
        <v>35</v>
      </c>
      <c r="M104" s="16">
        <v>4</v>
      </c>
      <c r="N104" s="16" t="s">
        <v>88</v>
      </c>
      <c r="O104" s="16" t="s">
        <v>89</v>
      </c>
      <c r="P104" s="16" t="s">
        <v>58</v>
      </c>
      <c r="Q104" s="16" t="s">
        <v>52</v>
      </c>
      <c r="R104" s="16" t="s">
        <v>40</v>
      </c>
      <c r="S104" s="16" t="s">
        <v>32</v>
      </c>
      <c r="T104" s="16">
        <v>4</v>
      </c>
      <c r="U104" s="16" t="s">
        <v>90</v>
      </c>
      <c r="V104" s="16" t="s">
        <v>42</v>
      </c>
      <c r="W104" s="16" t="s">
        <v>32</v>
      </c>
      <c r="X104" s="16" t="s">
        <v>42</v>
      </c>
      <c r="Y104" s="16" t="s">
        <v>108</v>
      </c>
      <c r="Z104" s="16"/>
    </row>
    <row r="105" spans="1:26" ht="14.25" customHeight="1" x14ac:dyDescent="0.35">
      <c r="A105" s="16" t="s">
        <v>218</v>
      </c>
      <c r="B105" s="16">
        <v>43</v>
      </c>
      <c r="C105" s="16" t="s">
        <v>316</v>
      </c>
      <c r="D105" s="16" t="s">
        <v>27</v>
      </c>
      <c r="E105" s="16" t="s">
        <v>28</v>
      </c>
      <c r="F105" s="16" t="s">
        <v>29</v>
      </c>
      <c r="G105" s="16" t="s">
        <v>87</v>
      </c>
      <c r="H105" s="16" t="s">
        <v>48</v>
      </c>
      <c r="I105" s="16" t="s">
        <v>32</v>
      </c>
      <c r="J105" s="16" t="s">
        <v>33</v>
      </c>
      <c r="K105" s="16" t="s">
        <v>80</v>
      </c>
      <c r="L105" s="16" t="s">
        <v>80</v>
      </c>
      <c r="M105" s="16">
        <v>0</v>
      </c>
      <c r="N105" s="16" t="s">
        <v>81</v>
      </c>
      <c r="O105" s="16" t="s">
        <v>81</v>
      </c>
      <c r="P105" s="16" t="s">
        <v>81</v>
      </c>
      <c r="Q105" s="16" t="s">
        <v>81</v>
      </c>
      <c r="R105" s="16" t="s">
        <v>81</v>
      </c>
      <c r="S105" s="16" t="s">
        <v>74</v>
      </c>
      <c r="T105" s="16" t="s">
        <v>82</v>
      </c>
      <c r="U105" s="16" t="s">
        <v>147</v>
      </c>
      <c r="V105" s="16" t="s">
        <v>42</v>
      </c>
      <c r="W105" s="16" t="s">
        <v>75</v>
      </c>
      <c r="X105" s="16" t="s">
        <v>42</v>
      </c>
      <c r="Y105" s="16" t="s">
        <v>148</v>
      </c>
      <c r="Z105" s="16"/>
    </row>
    <row r="106" spans="1:26" ht="14.25" customHeight="1" x14ac:dyDescent="0.35">
      <c r="A106" s="16" t="s">
        <v>219</v>
      </c>
      <c r="B106" s="16">
        <v>51</v>
      </c>
      <c r="C106" s="16" t="s">
        <v>63</v>
      </c>
      <c r="D106" s="16" t="s">
        <v>27</v>
      </c>
      <c r="E106" s="16" t="s">
        <v>28</v>
      </c>
      <c r="F106" s="16" t="s">
        <v>181</v>
      </c>
      <c r="G106" s="16" t="s">
        <v>87</v>
      </c>
      <c r="H106" s="16" t="s">
        <v>48</v>
      </c>
      <c r="I106" s="16" t="s">
        <v>74</v>
      </c>
      <c r="J106" s="16" t="s">
        <v>96</v>
      </c>
      <c r="K106" s="16" t="s">
        <v>80</v>
      </c>
      <c r="L106" s="16" t="s">
        <v>80</v>
      </c>
      <c r="M106" s="16">
        <v>0</v>
      </c>
      <c r="N106" s="16" t="s">
        <v>81</v>
      </c>
      <c r="O106" s="16" t="s">
        <v>81</v>
      </c>
      <c r="P106" s="16" t="s">
        <v>81</v>
      </c>
      <c r="Q106" s="16" t="s">
        <v>81</v>
      </c>
      <c r="R106" s="16" t="s">
        <v>81</v>
      </c>
      <c r="S106" s="16" t="s">
        <v>74</v>
      </c>
      <c r="T106" s="16" t="s">
        <v>82</v>
      </c>
      <c r="U106" s="16" t="s">
        <v>97</v>
      </c>
      <c r="V106" s="16" t="s">
        <v>42</v>
      </c>
      <c r="W106" s="16" t="s">
        <v>75</v>
      </c>
      <c r="X106" s="16" t="s">
        <v>42</v>
      </c>
      <c r="Y106" s="16" t="s">
        <v>99</v>
      </c>
      <c r="Z106" s="16"/>
    </row>
    <row r="107" spans="1:26" ht="14.25" customHeight="1" x14ac:dyDescent="0.35">
      <c r="A107" s="16" t="s">
        <v>220</v>
      </c>
      <c r="B107" s="16">
        <v>52</v>
      </c>
      <c r="C107" s="16" t="s">
        <v>63</v>
      </c>
      <c r="D107" s="16" t="s">
        <v>27</v>
      </c>
      <c r="E107" s="16" t="s">
        <v>78</v>
      </c>
      <c r="F107" s="16" t="s">
        <v>29</v>
      </c>
      <c r="G107" s="16" t="s">
        <v>30</v>
      </c>
      <c r="H107" s="16" t="s">
        <v>48</v>
      </c>
      <c r="I107" s="16" t="s">
        <v>32</v>
      </c>
      <c r="J107" s="16" t="s">
        <v>33</v>
      </c>
      <c r="K107" s="16" t="s">
        <v>34</v>
      </c>
      <c r="L107" s="16" t="s">
        <v>50</v>
      </c>
      <c r="M107" s="16">
        <v>5</v>
      </c>
      <c r="N107" s="16" t="s">
        <v>88</v>
      </c>
      <c r="O107" s="16" t="s">
        <v>104</v>
      </c>
      <c r="P107" s="16" t="s">
        <v>58</v>
      </c>
      <c r="Q107" s="16" t="s">
        <v>59</v>
      </c>
      <c r="R107" s="16" t="s">
        <v>53</v>
      </c>
      <c r="S107" s="16" t="s">
        <v>74</v>
      </c>
      <c r="T107" s="16">
        <v>4</v>
      </c>
      <c r="U107" s="16" t="s">
        <v>168</v>
      </c>
      <c r="V107" s="16" t="s">
        <v>42</v>
      </c>
      <c r="W107" s="16" t="s">
        <v>32</v>
      </c>
      <c r="X107" s="16" t="s">
        <v>42</v>
      </c>
      <c r="Y107" s="16" t="s">
        <v>76</v>
      </c>
      <c r="Z107" s="16"/>
    </row>
    <row r="108" spans="1:26" ht="14.25" customHeight="1" x14ac:dyDescent="0.35">
      <c r="A108" s="16" t="s">
        <v>221</v>
      </c>
      <c r="B108" s="16">
        <v>13</v>
      </c>
      <c r="C108" s="16" t="s">
        <v>315</v>
      </c>
      <c r="D108" s="16" t="s">
        <v>27</v>
      </c>
      <c r="E108" s="16" t="s">
        <v>55</v>
      </c>
      <c r="F108" s="16" t="s">
        <v>56</v>
      </c>
      <c r="G108" s="16" t="s">
        <v>72</v>
      </c>
      <c r="H108" s="16" t="s">
        <v>31</v>
      </c>
      <c r="I108" s="16" t="s">
        <v>32</v>
      </c>
      <c r="J108" s="16" t="s">
        <v>57</v>
      </c>
      <c r="K108" s="16" t="s">
        <v>34</v>
      </c>
      <c r="L108" s="16" t="s">
        <v>50</v>
      </c>
      <c r="M108" s="16">
        <v>5</v>
      </c>
      <c r="N108" s="16" t="s">
        <v>36</v>
      </c>
      <c r="O108" s="16" t="s">
        <v>37</v>
      </c>
      <c r="P108" s="16" t="s">
        <v>58</v>
      </c>
      <c r="Q108" s="16" t="s">
        <v>59</v>
      </c>
      <c r="R108" s="16" t="s">
        <v>70</v>
      </c>
      <c r="S108" s="16" t="s">
        <v>74</v>
      </c>
      <c r="T108" s="16">
        <v>3</v>
      </c>
      <c r="U108" s="16" t="s">
        <v>90</v>
      </c>
      <c r="V108" s="16" t="s">
        <v>98</v>
      </c>
      <c r="W108" s="16" t="s">
        <v>32</v>
      </c>
      <c r="X108" s="16" t="s">
        <v>98</v>
      </c>
      <c r="Y108" s="16" t="s">
        <v>76</v>
      </c>
      <c r="Z108" s="16"/>
    </row>
    <row r="109" spans="1:26" ht="14.25" customHeight="1" x14ac:dyDescent="0.35">
      <c r="A109" s="16" t="s">
        <v>222</v>
      </c>
      <c r="B109" s="16">
        <v>32</v>
      </c>
      <c r="C109" s="16" t="s">
        <v>317</v>
      </c>
      <c r="D109" s="16" t="s">
        <v>27</v>
      </c>
      <c r="E109" s="16" t="s">
        <v>78</v>
      </c>
      <c r="F109" s="16" t="s">
        <v>181</v>
      </c>
      <c r="G109" s="16" t="s">
        <v>87</v>
      </c>
      <c r="H109" s="16" t="s">
        <v>48</v>
      </c>
      <c r="I109" s="16" t="s">
        <v>32</v>
      </c>
      <c r="J109" s="16" t="s">
        <v>49</v>
      </c>
      <c r="K109" s="16" t="s">
        <v>34</v>
      </c>
      <c r="L109" s="16" t="s">
        <v>35</v>
      </c>
      <c r="M109" s="16">
        <v>2</v>
      </c>
      <c r="N109" s="16" t="s">
        <v>93</v>
      </c>
      <c r="O109" s="16" t="s">
        <v>89</v>
      </c>
      <c r="P109" s="16" t="s">
        <v>51</v>
      </c>
      <c r="Q109" s="16" t="s">
        <v>65</v>
      </c>
      <c r="R109" s="16" t="s">
        <v>101</v>
      </c>
      <c r="S109" s="16" t="s">
        <v>74</v>
      </c>
      <c r="T109" s="16">
        <v>2</v>
      </c>
      <c r="U109" s="16" t="s">
        <v>41</v>
      </c>
      <c r="V109" s="16" t="s">
        <v>114</v>
      </c>
      <c r="W109" s="16" t="s">
        <v>75</v>
      </c>
      <c r="X109" s="16" t="s">
        <v>114</v>
      </c>
      <c r="Y109" s="16" t="s">
        <v>76</v>
      </c>
      <c r="Z109" s="16"/>
    </row>
    <row r="110" spans="1:26" ht="14.25" customHeight="1" x14ac:dyDescent="0.35">
      <c r="A110" s="16" t="s">
        <v>223</v>
      </c>
      <c r="B110" s="16">
        <v>16</v>
      </c>
      <c r="C110" s="16" t="s">
        <v>315</v>
      </c>
      <c r="D110" s="16" t="s">
        <v>27</v>
      </c>
      <c r="E110" s="16" t="s">
        <v>28</v>
      </c>
      <c r="F110" s="16" t="s">
        <v>68</v>
      </c>
      <c r="G110" s="16" t="s">
        <v>30</v>
      </c>
      <c r="H110" s="16" t="s">
        <v>31</v>
      </c>
      <c r="I110" s="16" t="s">
        <v>74</v>
      </c>
      <c r="J110" s="16" t="s">
        <v>96</v>
      </c>
      <c r="K110" s="16" t="s">
        <v>80</v>
      </c>
      <c r="L110" s="16" t="s">
        <v>80</v>
      </c>
      <c r="M110" s="16">
        <v>0</v>
      </c>
      <c r="N110" s="16" t="s">
        <v>81</v>
      </c>
      <c r="O110" s="16" t="s">
        <v>81</v>
      </c>
      <c r="P110" s="16" t="s">
        <v>81</v>
      </c>
      <c r="Q110" s="16" t="s">
        <v>81</v>
      </c>
      <c r="R110" s="16" t="s">
        <v>81</v>
      </c>
      <c r="S110" s="16" t="s">
        <v>74</v>
      </c>
      <c r="T110" s="16" t="s">
        <v>82</v>
      </c>
      <c r="U110" s="16" t="s">
        <v>97</v>
      </c>
      <c r="V110" s="16" t="s">
        <v>98</v>
      </c>
      <c r="W110" s="16" t="s">
        <v>32</v>
      </c>
      <c r="X110" s="16" t="s">
        <v>98</v>
      </c>
      <c r="Y110" s="16" t="s">
        <v>99</v>
      </c>
      <c r="Z110" s="16"/>
    </row>
    <row r="111" spans="1:26" ht="14.25" customHeight="1" x14ac:dyDescent="0.35">
      <c r="A111" s="16" t="s">
        <v>224</v>
      </c>
      <c r="B111" s="16">
        <v>36</v>
      </c>
      <c r="C111" s="16" t="s">
        <v>317</v>
      </c>
      <c r="D111" s="16" t="s">
        <v>27</v>
      </c>
      <c r="E111" s="16" t="s">
        <v>28</v>
      </c>
      <c r="F111" s="16" t="s">
        <v>29</v>
      </c>
      <c r="G111" s="16" t="s">
        <v>87</v>
      </c>
      <c r="H111" s="16" t="s">
        <v>48</v>
      </c>
      <c r="I111" s="16" t="s">
        <v>74</v>
      </c>
      <c r="J111" s="16" t="s">
        <v>96</v>
      </c>
      <c r="K111" s="16" t="s">
        <v>80</v>
      </c>
      <c r="L111" s="16" t="s">
        <v>80</v>
      </c>
      <c r="M111" s="16">
        <v>0</v>
      </c>
      <c r="N111" s="16" t="s">
        <v>81</v>
      </c>
      <c r="O111" s="16" t="s">
        <v>81</v>
      </c>
      <c r="P111" s="16" t="s">
        <v>81</v>
      </c>
      <c r="Q111" s="16" t="s">
        <v>81</v>
      </c>
      <c r="R111" s="16" t="s">
        <v>81</v>
      </c>
      <c r="S111" s="16" t="s">
        <v>74</v>
      </c>
      <c r="T111" s="16" t="s">
        <v>82</v>
      </c>
      <c r="U111" s="16" t="s">
        <v>97</v>
      </c>
      <c r="V111" s="16" t="s">
        <v>114</v>
      </c>
      <c r="W111" s="16" t="s">
        <v>75</v>
      </c>
      <c r="X111" s="16" t="s">
        <v>114</v>
      </c>
      <c r="Y111" s="16" t="s">
        <v>99</v>
      </c>
      <c r="Z111" s="16"/>
    </row>
    <row r="112" spans="1:26" ht="14.25" customHeight="1" x14ac:dyDescent="0.35">
      <c r="A112" s="16" t="s">
        <v>225</v>
      </c>
      <c r="B112" s="16">
        <v>40</v>
      </c>
      <c r="C112" s="16" t="s">
        <v>316</v>
      </c>
      <c r="D112" s="16" t="s">
        <v>27</v>
      </c>
      <c r="E112" s="16" t="s">
        <v>33</v>
      </c>
      <c r="F112" s="16" t="s">
        <v>56</v>
      </c>
      <c r="G112" s="16" t="s">
        <v>87</v>
      </c>
      <c r="H112" s="16" t="s">
        <v>48</v>
      </c>
      <c r="I112" s="16" t="s">
        <v>32</v>
      </c>
      <c r="J112" s="16" t="s">
        <v>33</v>
      </c>
      <c r="K112" s="16" t="s">
        <v>80</v>
      </c>
      <c r="L112" s="16" t="s">
        <v>80</v>
      </c>
      <c r="M112" s="16">
        <v>0</v>
      </c>
      <c r="N112" s="16" t="s">
        <v>81</v>
      </c>
      <c r="O112" s="16" t="s">
        <v>81</v>
      </c>
      <c r="P112" s="16" t="s">
        <v>81</v>
      </c>
      <c r="Q112" s="16" t="s">
        <v>81</v>
      </c>
      <c r="R112" s="16" t="s">
        <v>81</v>
      </c>
      <c r="S112" s="16" t="s">
        <v>74</v>
      </c>
      <c r="T112" s="16" t="s">
        <v>82</v>
      </c>
      <c r="U112" s="16" t="s">
        <v>110</v>
      </c>
      <c r="V112" s="16" t="s">
        <v>42</v>
      </c>
      <c r="W112" s="16" t="s">
        <v>75</v>
      </c>
      <c r="X112" s="16" t="s">
        <v>42</v>
      </c>
      <c r="Y112" s="16" t="s">
        <v>111</v>
      </c>
      <c r="Z112" s="16"/>
    </row>
    <row r="113" spans="1:26" ht="14.25" customHeight="1" x14ac:dyDescent="0.35">
      <c r="A113" s="16" t="s">
        <v>226</v>
      </c>
      <c r="B113" s="16">
        <v>28</v>
      </c>
      <c r="C113" s="16" t="s">
        <v>319</v>
      </c>
      <c r="D113" s="16" t="s">
        <v>27</v>
      </c>
      <c r="E113" s="16" t="s">
        <v>28</v>
      </c>
      <c r="F113" s="16" t="s">
        <v>29</v>
      </c>
      <c r="G113" s="16" t="s">
        <v>87</v>
      </c>
      <c r="H113" s="16" t="s">
        <v>107</v>
      </c>
      <c r="I113" s="16" t="s">
        <v>32</v>
      </c>
      <c r="J113" s="16" t="s">
        <v>79</v>
      </c>
      <c r="K113" s="16" t="s">
        <v>34</v>
      </c>
      <c r="L113" s="16" t="s">
        <v>50</v>
      </c>
      <c r="M113" s="16">
        <v>4</v>
      </c>
      <c r="N113" s="16" t="s">
        <v>93</v>
      </c>
      <c r="O113" s="16" t="s">
        <v>89</v>
      </c>
      <c r="P113" s="16" t="s">
        <v>127</v>
      </c>
      <c r="Q113" s="16" t="s">
        <v>65</v>
      </c>
      <c r="R113" s="16" t="s">
        <v>116</v>
      </c>
      <c r="S113" s="16" t="s">
        <v>32</v>
      </c>
      <c r="T113" s="16">
        <v>3</v>
      </c>
      <c r="U113" s="16" t="s">
        <v>121</v>
      </c>
      <c r="V113" s="16" t="s">
        <v>132</v>
      </c>
      <c r="W113" s="16" t="s">
        <v>74</v>
      </c>
      <c r="X113" s="16" t="s">
        <v>132</v>
      </c>
      <c r="Y113" s="16" t="s">
        <v>122</v>
      </c>
      <c r="Z113" s="16"/>
    </row>
    <row r="114" spans="1:26" ht="14.25" customHeight="1" x14ac:dyDescent="0.35">
      <c r="A114" s="16" t="s">
        <v>227</v>
      </c>
      <c r="B114" s="16">
        <v>56</v>
      </c>
      <c r="C114" s="16" t="s">
        <v>63</v>
      </c>
      <c r="D114" s="16" t="s">
        <v>27</v>
      </c>
      <c r="E114" s="16" t="s">
        <v>33</v>
      </c>
      <c r="F114" s="16" t="s">
        <v>56</v>
      </c>
      <c r="G114" s="16" t="s">
        <v>87</v>
      </c>
      <c r="H114" s="16" t="s">
        <v>48</v>
      </c>
      <c r="I114" s="16" t="s">
        <v>32</v>
      </c>
      <c r="J114" s="16" t="s">
        <v>49</v>
      </c>
      <c r="K114" s="16" t="s">
        <v>80</v>
      </c>
      <c r="L114" s="16" t="s">
        <v>80</v>
      </c>
      <c r="M114" s="16">
        <v>0</v>
      </c>
      <c r="N114" s="16" t="s">
        <v>81</v>
      </c>
      <c r="O114" s="16" t="s">
        <v>81</v>
      </c>
      <c r="P114" s="16" t="s">
        <v>81</v>
      </c>
      <c r="Q114" s="16" t="s">
        <v>81</v>
      </c>
      <c r="R114" s="16" t="s">
        <v>81</v>
      </c>
      <c r="S114" s="16" t="s">
        <v>74</v>
      </c>
      <c r="T114" s="16" t="s">
        <v>82</v>
      </c>
      <c r="U114" s="16" t="s">
        <v>147</v>
      </c>
      <c r="V114" s="16" t="s">
        <v>98</v>
      </c>
      <c r="W114" s="16" t="s">
        <v>74</v>
      </c>
      <c r="X114" s="16" t="s">
        <v>98</v>
      </c>
      <c r="Y114" s="16" t="s">
        <v>148</v>
      </c>
      <c r="Z114" s="16"/>
    </row>
    <row r="115" spans="1:26" ht="14.25" customHeight="1" x14ac:dyDescent="0.35">
      <c r="A115" s="16" t="s">
        <v>228</v>
      </c>
      <c r="B115" s="16">
        <v>53</v>
      </c>
      <c r="C115" s="16" t="s">
        <v>63</v>
      </c>
      <c r="D115" s="16" t="s">
        <v>27</v>
      </c>
      <c r="E115" s="16" t="s">
        <v>28</v>
      </c>
      <c r="F115" s="16" t="s">
        <v>29</v>
      </c>
      <c r="G115" s="16" t="s">
        <v>30</v>
      </c>
      <c r="H115" s="16" t="s">
        <v>48</v>
      </c>
      <c r="I115" s="16" t="s">
        <v>32</v>
      </c>
      <c r="J115" s="16" t="s">
        <v>33</v>
      </c>
      <c r="K115" s="16" t="s">
        <v>80</v>
      </c>
      <c r="L115" s="16" t="s">
        <v>80</v>
      </c>
      <c r="M115" s="16">
        <v>0</v>
      </c>
      <c r="N115" s="16" t="s">
        <v>81</v>
      </c>
      <c r="O115" s="16" t="s">
        <v>81</v>
      </c>
      <c r="P115" s="16" t="s">
        <v>81</v>
      </c>
      <c r="Q115" s="16" t="s">
        <v>81</v>
      </c>
      <c r="R115" s="16" t="s">
        <v>81</v>
      </c>
      <c r="S115" s="16" t="s">
        <v>74</v>
      </c>
      <c r="T115" s="16" t="s">
        <v>82</v>
      </c>
      <c r="U115" s="16" t="s">
        <v>147</v>
      </c>
      <c r="V115" s="16" t="s">
        <v>84</v>
      </c>
      <c r="W115" s="16" t="s">
        <v>75</v>
      </c>
      <c r="X115" s="16" t="s">
        <v>84</v>
      </c>
      <c r="Y115" s="16" t="s">
        <v>148</v>
      </c>
      <c r="Z115" s="16"/>
    </row>
    <row r="116" spans="1:26" ht="14.25" customHeight="1" x14ac:dyDescent="0.35">
      <c r="A116" s="16" t="s">
        <v>229</v>
      </c>
      <c r="B116" s="16">
        <v>44</v>
      </c>
      <c r="C116" s="16" t="s">
        <v>316</v>
      </c>
      <c r="D116" s="16" t="s">
        <v>27</v>
      </c>
      <c r="E116" s="16" t="s">
        <v>28</v>
      </c>
      <c r="F116" s="16" t="s">
        <v>68</v>
      </c>
      <c r="G116" s="16" t="s">
        <v>30</v>
      </c>
      <c r="H116" s="16" t="s">
        <v>48</v>
      </c>
      <c r="I116" s="16" t="s">
        <v>32</v>
      </c>
      <c r="J116" s="16" t="s">
        <v>69</v>
      </c>
      <c r="K116" s="16" t="s">
        <v>34</v>
      </c>
      <c r="L116" s="16" t="s">
        <v>318</v>
      </c>
      <c r="M116" s="16">
        <v>3</v>
      </c>
      <c r="N116" s="16" t="s">
        <v>88</v>
      </c>
      <c r="O116" s="16" t="s">
        <v>104</v>
      </c>
      <c r="P116" s="16" t="s">
        <v>51</v>
      </c>
      <c r="Q116" s="16" t="s">
        <v>65</v>
      </c>
      <c r="R116" s="16" t="s">
        <v>116</v>
      </c>
      <c r="S116" s="16" t="s">
        <v>74</v>
      </c>
      <c r="T116" s="16">
        <v>2</v>
      </c>
      <c r="U116" s="16" t="s">
        <v>121</v>
      </c>
      <c r="V116" s="16" t="s">
        <v>98</v>
      </c>
      <c r="W116" s="16" t="s">
        <v>74</v>
      </c>
      <c r="X116" s="16" t="s">
        <v>98</v>
      </c>
      <c r="Y116" s="16" t="s">
        <v>76</v>
      </c>
      <c r="Z116" s="16"/>
    </row>
    <row r="117" spans="1:26" ht="14.25" customHeight="1" x14ac:dyDescent="0.35">
      <c r="A117" s="16" t="s">
        <v>230</v>
      </c>
      <c r="B117" s="16">
        <v>55</v>
      </c>
      <c r="C117" s="16" t="s">
        <v>63</v>
      </c>
      <c r="D117" s="16" t="s">
        <v>27</v>
      </c>
      <c r="E117" s="16" t="s">
        <v>118</v>
      </c>
      <c r="F117" s="16" t="s">
        <v>29</v>
      </c>
      <c r="G117" s="16" t="s">
        <v>47</v>
      </c>
      <c r="H117" s="16" t="s">
        <v>48</v>
      </c>
      <c r="I117" s="16" t="s">
        <v>74</v>
      </c>
      <c r="J117" s="16" t="s">
        <v>96</v>
      </c>
      <c r="K117" s="16" t="s">
        <v>80</v>
      </c>
      <c r="L117" s="16" t="s">
        <v>80</v>
      </c>
      <c r="M117" s="16">
        <v>0</v>
      </c>
      <c r="N117" s="16" t="s">
        <v>81</v>
      </c>
      <c r="O117" s="16" t="s">
        <v>81</v>
      </c>
      <c r="P117" s="16" t="s">
        <v>81</v>
      </c>
      <c r="Q117" s="16" t="s">
        <v>81</v>
      </c>
      <c r="R117" s="16" t="s">
        <v>81</v>
      </c>
      <c r="S117" s="16" t="s">
        <v>74</v>
      </c>
      <c r="T117" s="16" t="s">
        <v>82</v>
      </c>
      <c r="U117" s="16" t="s">
        <v>97</v>
      </c>
      <c r="V117" s="16" t="s">
        <v>84</v>
      </c>
      <c r="W117" s="16" t="s">
        <v>74</v>
      </c>
      <c r="X117" s="16" t="s">
        <v>84</v>
      </c>
      <c r="Y117" s="16" t="s">
        <v>99</v>
      </c>
      <c r="Z117" s="16"/>
    </row>
    <row r="118" spans="1:26" ht="14.25" customHeight="1" x14ac:dyDescent="0.35">
      <c r="A118" s="16" t="s">
        <v>231</v>
      </c>
      <c r="B118" s="16">
        <v>43</v>
      </c>
      <c r="C118" s="16" t="s">
        <v>316</v>
      </c>
      <c r="D118" s="16" t="s">
        <v>27</v>
      </c>
      <c r="E118" s="16" t="s">
        <v>78</v>
      </c>
      <c r="F118" s="16" t="s">
        <v>29</v>
      </c>
      <c r="G118" s="16" t="s">
        <v>30</v>
      </c>
      <c r="H118" s="16" t="s">
        <v>48</v>
      </c>
      <c r="I118" s="16" t="s">
        <v>32</v>
      </c>
      <c r="J118" s="16" t="s">
        <v>33</v>
      </c>
      <c r="K118" s="16" t="s">
        <v>34</v>
      </c>
      <c r="L118" s="16" t="s">
        <v>50</v>
      </c>
      <c r="M118" s="16">
        <v>2</v>
      </c>
      <c r="N118" s="16" t="s">
        <v>88</v>
      </c>
      <c r="O118" s="16" t="s">
        <v>89</v>
      </c>
      <c r="P118" s="16" t="s">
        <v>51</v>
      </c>
      <c r="Q118" s="16" t="s">
        <v>94</v>
      </c>
      <c r="R118" s="16" t="s">
        <v>101</v>
      </c>
      <c r="S118" s="16" t="s">
        <v>74</v>
      </c>
      <c r="T118" s="16">
        <v>1</v>
      </c>
      <c r="U118" s="16" t="s">
        <v>41</v>
      </c>
      <c r="V118" s="16" t="s">
        <v>114</v>
      </c>
      <c r="W118" s="16" t="s">
        <v>74</v>
      </c>
      <c r="X118" s="16" t="s">
        <v>114</v>
      </c>
      <c r="Y118" s="16" t="s">
        <v>76</v>
      </c>
      <c r="Z118" s="16"/>
    </row>
    <row r="119" spans="1:26" ht="14.25" customHeight="1" x14ac:dyDescent="0.35">
      <c r="A119" s="16" t="s">
        <v>232</v>
      </c>
      <c r="B119" s="16">
        <v>60</v>
      </c>
      <c r="C119" s="16" t="s">
        <v>63</v>
      </c>
      <c r="D119" s="16" t="s">
        <v>27</v>
      </c>
      <c r="E119" s="16" t="s">
        <v>33</v>
      </c>
      <c r="F119" s="16" t="s">
        <v>46</v>
      </c>
      <c r="G119" s="16" t="s">
        <v>30</v>
      </c>
      <c r="H119" s="16" t="s">
        <v>119</v>
      </c>
      <c r="I119" s="16" t="s">
        <v>74</v>
      </c>
      <c r="J119" s="16" t="s">
        <v>96</v>
      </c>
      <c r="K119" s="16" t="s">
        <v>80</v>
      </c>
      <c r="L119" s="16" t="s">
        <v>80</v>
      </c>
      <c r="M119" s="16">
        <v>0</v>
      </c>
      <c r="N119" s="16" t="s">
        <v>81</v>
      </c>
      <c r="O119" s="16" t="s">
        <v>81</v>
      </c>
      <c r="P119" s="16" t="s">
        <v>81</v>
      </c>
      <c r="Q119" s="16" t="s">
        <v>81</v>
      </c>
      <c r="R119" s="16" t="s">
        <v>81</v>
      </c>
      <c r="S119" s="16" t="s">
        <v>74</v>
      </c>
      <c r="T119" s="16" t="s">
        <v>82</v>
      </c>
      <c r="U119" s="16" t="s">
        <v>97</v>
      </c>
      <c r="V119" s="16" t="s">
        <v>98</v>
      </c>
      <c r="W119" s="16" t="s">
        <v>32</v>
      </c>
      <c r="X119" s="16" t="s">
        <v>98</v>
      </c>
      <c r="Y119" s="16" t="s">
        <v>99</v>
      </c>
      <c r="Z119" s="16"/>
    </row>
    <row r="120" spans="1:26" ht="14.25" customHeight="1" x14ac:dyDescent="0.35">
      <c r="A120" s="16" t="s">
        <v>233</v>
      </c>
      <c r="B120" s="16">
        <v>51</v>
      </c>
      <c r="C120" s="16" t="s">
        <v>63</v>
      </c>
      <c r="D120" s="16" t="s">
        <v>27</v>
      </c>
      <c r="E120" s="16" t="s">
        <v>78</v>
      </c>
      <c r="F120" s="16" t="s">
        <v>68</v>
      </c>
      <c r="G120" s="16" t="s">
        <v>87</v>
      </c>
      <c r="H120" s="16" t="s">
        <v>48</v>
      </c>
      <c r="I120" s="16" t="s">
        <v>32</v>
      </c>
      <c r="J120" s="16" t="s">
        <v>73</v>
      </c>
      <c r="K120" s="16" t="s">
        <v>34</v>
      </c>
      <c r="L120" s="16" t="s">
        <v>50</v>
      </c>
      <c r="M120" s="16">
        <v>3</v>
      </c>
      <c r="N120" s="16" t="s">
        <v>88</v>
      </c>
      <c r="O120" s="16" t="s">
        <v>89</v>
      </c>
      <c r="P120" s="16" t="s">
        <v>64</v>
      </c>
      <c r="Q120" s="16" t="s">
        <v>59</v>
      </c>
      <c r="R120" s="16" t="s">
        <v>40</v>
      </c>
      <c r="S120" s="16" t="s">
        <v>32</v>
      </c>
      <c r="T120" s="16">
        <v>5</v>
      </c>
      <c r="U120" s="16" t="s">
        <v>110</v>
      </c>
      <c r="V120" s="16" t="s">
        <v>114</v>
      </c>
      <c r="W120" s="16" t="s">
        <v>75</v>
      </c>
      <c r="X120" s="16" t="s">
        <v>114</v>
      </c>
      <c r="Y120" s="16" t="s">
        <v>135</v>
      </c>
      <c r="Z120" s="16"/>
    </row>
    <row r="121" spans="1:26" ht="14.25" customHeight="1" x14ac:dyDescent="0.35">
      <c r="A121" s="16" t="s">
        <v>234</v>
      </c>
      <c r="B121" s="16">
        <v>65</v>
      </c>
      <c r="C121" s="16" t="s">
        <v>63</v>
      </c>
      <c r="D121" s="16" t="s">
        <v>27</v>
      </c>
      <c r="E121" s="16" t="s">
        <v>33</v>
      </c>
      <c r="F121" s="16" t="s">
        <v>29</v>
      </c>
      <c r="G121" s="16" t="s">
        <v>87</v>
      </c>
      <c r="H121" s="16" t="s">
        <v>48</v>
      </c>
      <c r="I121" s="16" t="s">
        <v>74</v>
      </c>
      <c r="J121" s="16" t="s">
        <v>96</v>
      </c>
      <c r="K121" s="16" t="s">
        <v>80</v>
      </c>
      <c r="L121" s="16" t="s">
        <v>80</v>
      </c>
      <c r="M121" s="16">
        <v>0</v>
      </c>
      <c r="N121" s="16" t="s">
        <v>81</v>
      </c>
      <c r="O121" s="16" t="s">
        <v>81</v>
      </c>
      <c r="P121" s="16" t="s">
        <v>81</v>
      </c>
      <c r="Q121" s="16" t="s">
        <v>81</v>
      </c>
      <c r="R121" s="16" t="s">
        <v>81</v>
      </c>
      <c r="S121" s="16" t="s">
        <v>74</v>
      </c>
      <c r="T121" s="16" t="s">
        <v>82</v>
      </c>
      <c r="U121" s="16" t="s">
        <v>97</v>
      </c>
      <c r="V121" s="16" t="s">
        <v>42</v>
      </c>
      <c r="W121" s="16" t="s">
        <v>75</v>
      </c>
      <c r="X121" s="16" t="s">
        <v>42</v>
      </c>
      <c r="Y121" s="16" t="s">
        <v>99</v>
      </c>
      <c r="Z121" s="16"/>
    </row>
    <row r="122" spans="1:26" ht="14.25" customHeight="1" x14ac:dyDescent="0.35">
      <c r="A122" s="16" t="s">
        <v>235</v>
      </c>
      <c r="B122" s="16">
        <v>15</v>
      </c>
      <c r="C122" s="16" t="s">
        <v>315</v>
      </c>
      <c r="D122" s="16" t="s">
        <v>27</v>
      </c>
      <c r="E122" s="16" t="s">
        <v>28</v>
      </c>
      <c r="F122" s="16" t="s">
        <v>46</v>
      </c>
      <c r="G122" s="16" t="s">
        <v>72</v>
      </c>
      <c r="H122" s="16" t="s">
        <v>31</v>
      </c>
      <c r="I122" s="16" t="s">
        <v>32</v>
      </c>
      <c r="J122" s="16" t="s">
        <v>79</v>
      </c>
      <c r="K122" s="16" t="s">
        <v>34</v>
      </c>
      <c r="L122" s="16" t="s">
        <v>50</v>
      </c>
      <c r="M122" s="16">
        <v>5</v>
      </c>
      <c r="N122" s="16" t="s">
        <v>36</v>
      </c>
      <c r="O122" s="16" t="s">
        <v>37</v>
      </c>
      <c r="P122" s="16" t="s">
        <v>64</v>
      </c>
      <c r="Q122" s="16" t="s">
        <v>52</v>
      </c>
      <c r="R122" s="16" t="s">
        <v>53</v>
      </c>
      <c r="S122" s="16" t="s">
        <v>32</v>
      </c>
      <c r="T122" s="16">
        <v>3</v>
      </c>
      <c r="U122" s="16" t="s">
        <v>121</v>
      </c>
      <c r="V122" s="16" t="s">
        <v>42</v>
      </c>
      <c r="W122" s="16" t="s">
        <v>32</v>
      </c>
      <c r="X122" s="16" t="s">
        <v>42</v>
      </c>
      <c r="Y122" s="16" t="s">
        <v>122</v>
      </c>
      <c r="Z122" s="16"/>
    </row>
    <row r="123" spans="1:26" ht="14.25" customHeight="1" x14ac:dyDescent="0.35">
      <c r="A123" s="16" t="s">
        <v>236</v>
      </c>
      <c r="B123" s="16">
        <v>13</v>
      </c>
      <c r="C123" s="16" t="s">
        <v>315</v>
      </c>
      <c r="D123" s="16" t="s">
        <v>27</v>
      </c>
      <c r="E123" s="16" t="s">
        <v>28</v>
      </c>
      <c r="F123" s="16" t="s">
        <v>29</v>
      </c>
      <c r="G123" s="16" t="s">
        <v>30</v>
      </c>
      <c r="H123" s="16" t="s">
        <v>31</v>
      </c>
      <c r="I123" s="16" t="s">
        <v>32</v>
      </c>
      <c r="J123" s="16" t="s">
        <v>33</v>
      </c>
      <c r="K123" s="16" t="s">
        <v>34</v>
      </c>
      <c r="L123" s="16" t="s">
        <v>318</v>
      </c>
      <c r="M123" s="16">
        <v>5</v>
      </c>
      <c r="N123" s="16" t="s">
        <v>36</v>
      </c>
      <c r="O123" s="16" t="s">
        <v>37</v>
      </c>
      <c r="P123" s="16" t="s">
        <v>38</v>
      </c>
      <c r="Q123" s="16" t="s">
        <v>39</v>
      </c>
      <c r="R123" s="16" t="s">
        <v>70</v>
      </c>
      <c r="S123" s="16" t="s">
        <v>32</v>
      </c>
      <c r="T123" s="16">
        <v>5</v>
      </c>
      <c r="U123" s="16" t="s">
        <v>110</v>
      </c>
      <c r="V123" s="16" t="s">
        <v>114</v>
      </c>
      <c r="W123" s="16" t="s">
        <v>32</v>
      </c>
      <c r="X123" s="16" t="s">
        <v>114</v>
      </c>
      <c r="Y123" s="16" t="s">
        <v>135</v>
      </c>
      <c r="Z123" s="16"/>
    </row>
    <row r="124" spans="1:26" ht="14.25" customHeight="1" x14ac:dyDescent="0.35">
      <c r="A124" s="16" t="s">
        <v>237</v>
      </c>
      <c r="B124" s="16">
        <v>18</v>
      </c>
      <c r="C124" s="16" t="s">
        <v>315</v>
      </c>
      <c r="D124" s="16" t="s">
        <v>27</v>
      </c>
      <c r="E124" s="16" t="s">
        <v>55</v>
      </c>
      <c r="F124" s="16" t="s">
        <v>68</v>
      </c>
      <c r="G124" s="16" t="s">
        <v>47</v>
      </c>
      <c r="H124" s="16" t="s">
        <v>107</v>
      </c>
      <c r="I124" s="16" t="s">
        <v>32</v>
      </c>
      <c r="J124" s="16" t="s">
        <v>79</v>
      </c>
      <c r="K124" s="16" t="s">
        <v>34</v>
      </c>
      <c r="L124" s="16" t="s">
        <v>50</v>
      </c>
      <c r="M124" s="16">
        <v>4</v>
      </c>
      <c r="N124" s="16" t="s">
        <v>36</v>
      </c>
      <c r="O124" s="16" t="s">
        <v>37</v>
      </c>
      <c r="P124" s="16" t="s">
        <v>51</v>
      </c>
      <c r="Q124" s="16" t="s">
        <v>94</v>
      </c>
      <c r="R124" s="16" t="s">
        <v>53</v>
      </c>
      <c r="S124" s="16" t="s">
        <v>32</v>
      </c>
      <c r="T124" s="16">
        <v>1</v>
      </c>
      <c r="U124" s="16" t="s">
        <v>121</v>
      </c>
      <c r="V124" s="16" t="s">
        <v>42</v>
      </c>
      <c r="W124" s="16" t="s">
        <v>32</v>
      </c>
      <c r="X124" s="16" t="s">
        <v>42</v>
      </c>
      <c r="Y124" s="16" t="s">
        <v>122</v>
      </c>
      <c r="Z124" s="16"/>
    </row>
    <row r="125" spans="1:26" ht="14.25" customHeight="1" x14ac:dyDescent="0.35">
      <c r="A125" s="16" t="s">
        <v>238</v>
      </c>
      <c r="B125" s="16">
        <v>36</v>
      </c>
      <c r="C125" s="16" t="s">
        <v>317</v>
      </c>
      <c r="D125" s="16" t="s">
        <v>27</v>
      </c>
      <c r="E125" s="16" t="s">
        <v>28</v>
      </c>
      <c r="F125" s="16" t="s">
        <v>68</v>
      </c>
      <c r="G125" s="16" t="s">
        <v>47</v>
      </c>
      <c r="H125" s="16" t="s">
        <v>48</v>
      </c>
      <c r="I125" s="16" t="s">
        <v>74</v>
      </c>
      <c r="J125" s="16" t="s">
        <v>96</v>
      </c>
      <c r="K125" s="16" t="s">
        <v>80</v>
      </c>
      <c r="L125" s="16" t="s">
        <v>80</v>
      </c>
      <c r="M125" s="16">
        <v>0</v>
      </c>
      <c r="N125" s="16" t="s">
        <v>81</v>
      </c>
      <c r="O125" s="16" t="s">
        <v>81</v>
      </c>
      <c r="P125" s="16" t="s">
        <v>81</v>
      </c>
      <c r="Q125" s="16" t="s">
        <v>81</v>
      </c>
      <c r="R125" s="16" t="s">
        <v>81</v>
      </c>
      <c r="S125" s="16" t="s">
        <v>74</v>
      </c>
      <c r="T125" s="16" t="s">
        <v>82</v>
      </c>
      <c r="U125" s="16" t="s">
        <v>97</v>
      </c>
      <c r="V125" s="16" t="s">
        <v>98</v>
      </c>
      <c r="W125" s="16" t="s">
        <v>74</v>
      </c>
      <c r="X125" s="16" t="s">
        <v>98</v>
      </c>
      <c r="Y125" s="16" t="s">
        <v>99</v>
      </c>
      <c r="Z125" s="16"/>
    </row>
    <row r="126" spans="1:26" ht="14.25" customHeight="1" x14ac:dyDescent="0.35">
      <c r="A126" s="16" t="s">
        <v>239</v>
      </c>
      <c r="B126" s="16">
        <v>27</v>
      </c>
      <c r="C126" s="16" t="s">
        <v>319</v>
      </c>
      <c r="D126" s="16" t="s">
        <v>27</v>
      </c>
      <c r="E126" s="16" t="s">
        <v>28</v>
      </c>
      <c r="F126" s="16" t="s">
        <v>29</v>
      </c>
      <c r="G126" s="16" t="s">
        <v>30</v>
      </c>
      <c r="H126" s="16" t="s">
        <v>107</v>
      </c>
      <c r="I126" s="16" t="s">
        <v>32</v>
      </c>
      <c r="J126" s="16" t="s">
        <v>49</v>
      </c>
      <c r="K126" s="16" t="s">
        <v>34</v>
      </c>
      <c r="L126" s="16" t="s">
        <v>318</v>
      </c>
      <c r="M126" s="16">
        <v>2</v>
      </c>
      <c r="N126" s="16" t="s">
        <v>88</v>
      </c>
      <c r="O126" s="16" t="s">
        <v>104</v>
      </c>
      <c r="P126" s="16" t="s">
        <v>64</v>
      </c>
      <c r="Q126" s="16" t="s">
        <v>52</v>
      </c>
      <c r="R126" s="16" t="s">
        <v>116</v>
      </c>
      <c r="S126" s="16" t="s">
        <v>32</v>
      </c>
      <c r="T126" s="16">
        <v>3</v>
      </c>
      <c r="U126" s="16" t="s">
        <v>121</v>
      </c>
      <c r="V126" s="16" t="s">
        <v>42</v>
      </c>
      <c r="W126" s="16" t="s">
        <v>32</v>
      </c>
      <c r="X126" s="16" t="s">
        <v>42</v>
      </c>
      <c r="Y126" s="16" t="s">
        <v>122</v>
      </c>
      <c r="Z126" s="16"/>
    </row>
    <row r="127" spans="1:26" ht="14.25" customHeight="1" x14ac:dyDescent="0.35">
      <c r="A127" s="16" t="s">
        <v>240</v>
      </c>
      <c r="B127" s="16">
        <v>42</v>
      </c>
      <c r="C127" s="16" t="s">
        <v>316</v>
      </c>
      <c r="D127" s="16" t="s">
        <v>27</v>
      </c>
      <c r="E127" s="16" t="s">
        <v>118</v>
      </c>
      <c r="F127" s="16" t="s">
        <v>29</v>
      </c>
      <c r="G127" s="16" t="s">
        <v>47</v>
      </c>
      <c r="H127" s="16" t="s">
        <v>119</v>
      </c>
      <c r="I127" s="16" t="s">
        <v>32</v>
      </c>
      <c r="J127" s="16" t="s">
        <v>79</v>
      </c>
      <c r="K127" s="16" t="s">
        <v>34</v>
      </c>
      <c r="L127" s="16" t="s">
        <v>318</v>
      </c>
      <c r="M127" s="16">
        <v>3</v>
      </c>
      <c r="N127" s="16" t="s">
        <v>88</v>
      </c>
      <c r="O127" s="16" t="s">
        <v>104</v>
      </c>
      <c r="P127" s="16" t="s">
        <v>64</v>
      </c>
      <c r="Q127" s="16" t="s">
        <v>65</v>
      </c>
      <c r="R127" s="16" t="s">
        <v>116</v>
      </c>
      <c r="S127" s="16" t="s">
        <v>74</v>
      </c>
      <c r="T127" s="16">
        <v>3</v>
      </c>
      <c r="U127" s="16" t="s">
        <v>90</v>
      </c>
      <c r="V127" s="16" t="s">
        <v>42</v>
      </c>
      <c r="W127" s="16" t="s">
        <v>75</v>
      </c>
      <c r="X127" s="16" t="s">
        <v>42</v>
      </c>
      <c r="Y127" s="16" t="s">
        <v>76</v>
      </c>
      <c r="Z127" s="16"/>
    </row>
    <row r="128" spans="1:26" ht="14.25" customHeight="1" x14ac:dyDescent="0.35">
      <c r="A128" s="16" t="s">
        <v>241</v>
      </c>
      <c r="B128" s="16">
        <v>29</v>
      </c>
      <c r="C128" s="16" t="s">
        <v>319</v>
      </c>
      <c r="D128" s="16" t="s">
        <v>27</v>
      </c>
      <c r="E128" s="16" t="s">
        <v>28</v>
      </c>
      <c r="F128" s="16" t="s">
        <v>29</v>
      </c>
      <c r="G128" s="16" t="s">
        <v>87</v>
      </c>
      <c r="H128" s="16" t="s">
        <v>107</v>
      </c>
      <c r="I128" s="16" t="s">
        <v>32</v>
      </c>
      <c r="J128" s="16" t="s">
        <v>79</v>
      </c>
      <c r="K128" s="16" t="s">
        <v>80</v>
      </c>
      <c r="L128" s="16" t="s">
        <v>80</v>
      </c>
      <c r="M128" s="16">
        <v>0</v>
      </c>
      <c r="N128" s="16" t="s">
        <v>81</v>
      </c>
      <c r="O128" s="16" t="s">
        <v>81</v>
      </c>
      <c r="P128" s="16" t="s">
        <v>81</v>
      </c>
      <c r="Q128" s="16" t="s">
        <v>81</v>
      </c>
      <c r="R128" s="16" t="s">
        <v>81</v>
      </c>
      <c r="S128" s="16" t="s">
        <v>74</v>
      </c>
      <c r="T128" s="16" t="s">
        <v>82</v>
      </c>
      <c r="U128" s="16" t="s">
        <v>110</v>
      </c>
      <c r="V128" s="16" t="s">
        <v>132</v>
      </c>
      <c r="W128" s="16" t="s">
        <v>74</v>
      </c>
      <c r="X128" s="16" t="s">
        <v>132</v>
      </c>
      <c r="Y128" s="16" t="s">
        <v>111</v>
      </c>
      <c r="Z128" s="16"/>
    </row>
    <row r="129" spans="1:26" ht="14.25" customHeight="1" x14ac:dyDescent="0.35">
      <c r="A129" s="16" t="s">
        <v>242</v>
      </c>
      <c r="B129" s="16">
        <v>38</v>
      </c>
      <c r="C129" s="16" t="s">
        <v>317</v>
      </c>
      <c r="D129" s="16" t="s">
        <v>27</v>
      </c>
      <c r="E129" s="16" t="s">
        <v>118</v>
      </c>
      <c r="F129" s="16" t="s">
        <v>29</v>
      </c>
      <c r="G129" s="16" t="s">
        <v>72</v>
      </c>
      <c r="H129" s="16" t="s">
        <v>48</v>
      </c>
      <c r="I129" s="16" t="s">
        <v>32</v>
      </c>
      <c r="J129" s="16" t="s">
        <v>73</v>
      </c>
      <c r="K129" s="16" t="s">
        <v>34</v>
      </c>
      <c r="L129" s="16" t="s">
        <v>50</v>
      </c>
      <c r="M129" s="16">
        <v>4</v>
      </c>
      <c r="N129" s="16" t="s">
        <v>36</v>
      </c>
      <c r="O129" s="16" t="s">
        <v>37</v>
      </c>
      <c r="P129" s="16" t="s">
        <v>64</v>
      </c>
      <c r="Q129" s="16" t="s">
        <v>59</v>
      </c>
      <c r="R129" s="16" t="s">
        <v>70</v>
      </c>
      <c r="S129" s="16" t="s">
        <v>32</v>
      </c>
      <c r="T129" s="16">
        <v>4</v>
      </c>
      <c r="U129" s="16" t="s">
        <v>60</v>
      </c>
      <c r="V129" s="16" t="s">
        <v>98</v>
      </c>
      <c r="W129" s="16" t="s">
        <v>75</v>
      </c>
      <c r="X129" s="16" t="s">
        <v>98</v>
      </c>
      <c r="Y129" s="16" t="s">
        <v>61</v>
      </c>
      <c r="Z129" s="16"/>
    </row>
    <row r="130" spans="1:26" ht="14.25" customHeight="1" x14ac:dyDescent="0.35">
      <c r="A130" s="16" t="s">
        <v>243</v>
      </c>
      <c r="B130" s="16">
        <v>19</v>
      </c>
      <c r="C130" s="16" t="s">
        <v>315</v>
      </c>
      <c r="D130" s="16" t="s">
        <v>27</v>
      </c>
      <c r="E130" s="16" t="s">
        <v>55</v>
      </c>
      <c r="F130" s="16" t="s">
        <v>29</v>
      </c>
      <c r="G130" s="16" t="s">
        <v>87</v>
      </c>
      <c r="H130" s="16" t="s">
        <v>107</v>
      </c>
      <c r="I130" s="16" t="s">
        <v>32</v>
      </c>
      <c r="J130" s="16" t="s">
        <v>92</v>
      </c>
      <c r="K130" s="16" t="s">
        <v>34</v>
      </c>
      <c r="L130" s="16" t="s">
        <v>50</v>
      </c>
      <c r="M130" s="16">
        <v>5</v>
      </c>
      <c r="N130" s="16" t="s">
        <v>93</v>
      </c>
      <c r="O130" s="16" t="s">
        <v>142</v>
      </c>
      <c r="P130" s="16" t="s">
        <v>127</v>
      </c>
      <c r="Q130" s="16" t="s">
        <v>65</v>
      </c>
      <c r="R130" s="16" t="s">
        <v>53</v>
      </c>
      <c r="S130" s="16" t="s">
        <v>74</v>
      </c>
      <c r="T130" s="16">
        <v>3</v>
      </c>
      <c r="U130" s="16" t="s">
        <v>41</v>
      </c>
      <c r="V130" s="16" t="s">
        <v>42</v>
      </c>
      <c r="W130" s="16" t="s">
        <v>74</v>
      </c>
      <c r="X130" s="16" t="s">
        <v>42</v>
      </c>
      <c r="Y130" s="16" t="s">
        <v>76</v>
      </c>
      <c r="Z130" s="16"/>
    </row>
    <row r="131" spans="1:26" ht="14.25" customHeight="1" x14ac:dyDescent="0.35">
      <c r="A131" s="16" t="s">
        <v>244</v>
      </c>
      <c r="B131" s="16">
        <v>29</v>
      </c>
      <c r="C131" s="16" t="s">
        <v>319</v>
      </c>
      <c r="D131" s="16" t="s">
        <v>27</v>
      </c>
      <c r="E131" s="16" t="s">
        <v>78</v>
      </c>
      <c r="F131" s="16" t="s">
        <v>29</v>
      </c>
      <c r="G131" s="16" t="s">
        <v>87</v>
      </c>
      <c r="H131" s="16" t="s">
        <v>107</v>
      </c>
      <c r="I131" s="16" t="s">
        <v>32</v>
      </c>
      <c r="J131" s="16" t="s">
        <v>92</v>
      </c>
      <c r="K131" s="16" t="s">
        <v>34</v>
      </c>
      <c r="L131" s="16" t="s">
        <v>35</v>
      </c>
      <c r="M131" s="16">
        <v>4</v>
      </c>
      <c r="N131" s="16" t="s">
        <v>88</v>
      </c>
      <c r="O131" s="16" t="s">
        <v>104</v>
      </c>
      <c r="P131" s="16" t="s">
        <v>64</v>
      </c>
      <c r="Q131" s="16" t="s">
        <v>52</v>
      </c>
      <c r="R131" s="16" t="s">
        <v>40</v>
      </c>
      <c r="S131" s="16" t="s">
        <v>32</v>
      </c>
      <c r="T131" s="16">
        <v>4</v>
      </c>
      <c r="U131" s="16" t="s">
        <v>90</v>
      </c>
      <c r="V131" s="16" t="s">
        <v>42</v>
      </c>
      <c r="W131" s="16" t="s">
        <v>75</v>
      </c>
      <c r="X131" s="16" t="s">
        <v>42</v>
      </c>
      <c r="Y131" s="16" t="s">
        <v>108</v>
      </c>
      <c r="Z131" s="16"/>
    </row>
    <row r="132" spans="1:26" ht="14.25" customHeight="1" x14ac:dyDescent="0.35">
      <c r="A132" s="16" t="s">
        <v>245</v>
      </c>
      <c r="B132" s="16">
        <v>35</v>
      </c>
      <c r="C132" s="16" t="s">
        <v>317</v>
      </c>
      <c r="D132" s="16" t="s">
        <v>27</v>
      </c>
      <c r="E132" s="16" t="s">
        <v>78</v>
      </c>
      <c r="F132" s="16" t="s">
        <v>56</v>
      </c>
      <c r="G132" s="16" t="s">
        <v>30</v>
      </c>
      <c r="H132" s="16" t="s">
        <v>48</v>
      </c>
      <c r="I132" s="16" t="s">
        <v>32</v>
      </c>
      <c r="J132" s="16" t="s">
        <v>79</v>
      </c>
      <c r="K132" s="16" t="s">
        <v>34</v>
      </c>
      <c r="L132" s="16" t="s">
        <v>50</v>
      </c>
      <c r="M132" s="16">
        <v>2</v>
      </c>
      <c r="N132" s="16" t="s">
        <v>93</v>
      </c>
      <c r="O132" s="16" t="s">
        <v>142</v>
      </c>
      <c r="P132" s="16" t="s">
        <v>51</v>
      </c>
      <c r="Q132" s="16" t="s">
        <v>65</v>
      </c>
      <c r="R132" s="16" t="s">
        <v>101</v>
      </c>
      <c r="S132" s="16" t="s">
        <v>32</v>
      </c>
      <c r="T132" s="16">
        <v>3</v>
      </c>
      <c r="U132" s="16" t="s">
        <v>60</v>
      </c>
      <c r="V132" s="16" t="s">
        <v>84</v>
      </c>
      <c r="W132" s="16" t="s">
        <v>74</v>
      </c>
      <c r="X132" s="16" t="s">
        <v>84</v>
      </c>
      <c r="Y132" s="16" t="s">
        <v>61</v>
      </c>
      <c r="Z132" s="16"/>
    </row>
    <row r="133" spans="1:26" ht="14.25" customHeight="1" x14ac:dyDescent="0.35">
      <c r="A133" s="16" t="s">
        <v>246</v>
      </c>
      <c r="B133" s="16">
        <v>59</v>
      </c>
      <c r="C133" s="16" t="s">
        <v>63</v>
      </c>
      <c r="D133" s="16" t="s">
        <v>27</v>
      </c>
      <c r="E133" s="16" t="s">
        <v>78</v>
      </c>
      <c r="F133" s="16" t="s">
        <v>29</v>
      </c>
      <c r="G133" s="16" t="s">
        <v>87</v>
      </c>
      <c r="H133" s="16" t="s">
        <v>48</v>
      </c>
      <c r="I133" s="16" t="s">
        <v>32</v>
      </c>
      <c r="J133" s="16" t="s">
        <v>33</v>
      </c>
      <c r="K133" s="16" t="s">
        <v>34</v>
      </c>
      <c r="L133" s="16" t="s">
        <v>50</v>
      </c>
      <c r="M133" s="16">
        <v>3</v>
      </c>
      <c r="N133" s="16" t="s">
        <v>88</v>
      </c>
      <c r="O133" s="16" t="s">
        <v>89</v>
      </c>
      <c r="P133" s="16" t="s">
        <v>51</v>
      </c>
      <c r="Q133" s="16" t="s">
        <v>65</v>
      </c>
      <c r="R133" s="16" t="s">
        <v>53</v>
      </c>
      <c r="S133" s="16" t="s">
        <v>32</v>
      </c>
      <c r="T133" s="16">
        <v>1</v>
      </c>
      <c r="U133" s="16" t="s">
        <v>168</v>
      </c>
      <c r="V133" s="16" t="s">
        <v>132</v>
      </c>
      <c r="W133" s="16" t="s">
        <v>74</v>
      </c>
      <c r="X133" s="16" t="s">
        <v>132</v>
      </c>
      <c r="Y133" s="16" t="s">
        <v>169</v>
      </c>
      <c r="Z133" s="16"/>
    </row>
    <row r="134" spans="1:26" ht="14.25" customHeight="1" x14ac:dyDescent="0.35">
      <c r="A134" s="16" t="s">
        <v>247</v>
      </c>
      <c r="B134" s="16">
        <v>14</v>
      </c>
      <c r="C134" s="16" t="s">
        <v>315</v>
      </c>
      <c r="D134" s="16" t="s">
        <v>27</v>
      </c>
      <c r="E134" s="16" t="s">
        <v>55</v>
      </c>
      <c r="F134" s="16" t="s">
        <v>29</v>
      </c>
      <c r="G134" s="16" t="s">
        <v>87</v>
      </c>
      <c r="H134" s="16" t="s">
        <v>31</v>
      </c>
      <c r="I134" s="16" t="s">
        <v>32</v>
      </c>
      <c r="J134" s="16" t="s">
        <v>79</v>
      </c>
      <c r="K134" s="16" t="s">
        <v>80</v>
      </c>
      <c r="L134" s="16" t="s">
        <v>80</v>
      </c>
      <c r="M134" s="16">
        <v>0</v>
      </c>
      <c r="N134" s="16" t="s">
        <v>81</v>
      </c>
      <c r="O134" s="16" t="s">
        <v>81</v>
      </c>
      <c r="P134" s="16" t="s">
        <v>81</v>
      </c>
      <c r="Q134" s="16" t="s">
        <v>81</v>
      </c>
      <c r="R134" s="16" t="s">
        <v>81</v>
      </c>
      <c r="S134" s="16" t="s">
        <v>74</v>
      </c>
      <c r="T134" s="16" t="s">
        <v>82</v>
      </c>
      <c r="U134" s="16" t="s">
        <v>110</v>
      </c>
      <c r="V134" s="16" t="s">
        <v>42</v>
      </c>
      <c r="W134" s="16" t="s">
        <v>32</v>
      </c>
      <c r="X134" s="16" t="s">
        <v>42</v>
      </c>
      <c r="Y134" s="16" t="s">
        <v>111</v>
      </c>
      <c r="Z134" s="16"/>
    </row>
    <row r="135" spans="1:26" ht="14.25" customHeight="1" x14ac:dyDescent="0.35">
      <c r="A135" s="16" t="s">
        <v>248</v>
      </c>
      <c r="B135" s="16">
        <v>42</v>
      </c>
      <c r="C135" s="16" t="s">
        <v>316</v>
      </c>
      <c r="D135" s="16" t="s">
        <v>27</v>
      </c>
      <c r="E135" s="16" t="s">
        <v>28</v>
      </c>
      <c r="F135" s="16" t="s">
        <v>56</v>
      </c>
      <c r="G135" s="16" t="s">
        <v>87</v>
      </c>
      <c r="H135" s="16" t="s">
        <v>48</v>
      </c>
      <c r="I135" s="16" t="s">
        <v>32</v>
      </c>
      <c r="J135" s="16" t="s">
        <v>92</v>
      </c>
      <c r="K135" s="16" t="s">
        <v>80</v>
      </c>
      <c r="L135" s="16" t="s">
        <v>80</v>
      </c>
      <c r="M135" s="16">
        <v>0</v>
      </c>
      <c r="N135" s="16" t="s">
        <v>81</v>
      </c>
      <c r="O135" s="16" t="s">
        <v>81</v>
      </c>
      <c r="P135" s="16" t="s">
        <v>81</v>
      </c>
      <c r="Q135" s="16" t="s">
        <v>81</v>
      </c>
      <c r="R135" s="16" t="s">
        <v>81</v>
      </c>
      <c r="S135" s="16" t="s">
        <v>74</v>
      </c>
      <c r="T135" s="16" t="s">
        <v>82</v>
      </c>
      <c r="U135" s="16" t="s">
        <v>83</v>
      </c>
      <c r="V135" s="16" t="s">
        <v>42</v>
      </c>
      <c r="W135" s="16" t="s">
        <v>32</v>
      </c>
      <c r="X135" s="16" t="s">
        <v>42</v>
      </c>
      <c r="Y135" s="16" t="s">
        <v>85</v>
      </c>
      <c r="Z135" s="16"/>
    </row>
    <row r="136" spans="1:26" ht="14.25" customHeight="1" x14ac:dyDescent="0.35">
      <c r="A136" s="16" t="s">
        <v>249</v>
      </c>
      <c r="B136" s="16">
        <v>35</v>
      </c>
      <c r="C136" s="16" t="s">
        <v>317</v>
      </c>
      <c r="D136" s="16" t="s">
        <v>27</v>
      </c>
      <c r="E136" s="16" t="s">
        <v>118</v>
      </c>
      <c r="F136" s="16" t="s">
        <v>46</v>
      </c>
      <c r="G136" s="16" t="s">
        <v>72</v>
      </c>
      <c r="H136" s="16" t="s">
        <v>48</v>
      </c>
      <c r="I136" s="16" t="s">
        <v>32</v>
      </c>
      <c r="J136" s="16" t="s">
        <v>33</v>
      </c>
      <c r="K136" s="16" t="s">
        <v>80</v>
      </c>
      <c r="L136" s="16" t="s">
        <v>80</v>
      </c>
      <c r="M136" s="16">
        <v>0</v>
      </c>
      <c r="N136" s="16" t="s">
        <v>81</v>
      </c>
      <c r="O136" s="16" t="s">
        <v>81</v>
      </c>
      <c r="P136" s="16" t="s">
        <v>81</v>
      </c>
      <c r="Q136" s="16" t="s">
        <v>81</v>
      </c>
      <c r="R136" s="16" t="s">
        <v>81</v>
      </c>
      <c r="S136" s="16" t="s">
        <v>74</v>
      </c>
      <c r="T136" s="16" t="s">
        <v>82</v>
      </c>
      <c r="U136" s="16" t="s">
        <v>147</v>
      </c>
      <c r="V136" s="16" t="s">
        <v>132</v>
      </c>
      <c r="W136" s="16" t="s">
        <v>75</v>
      </c>
      <c r="X136" s="16" t="s">
        <v>132</v>
      </c>
      <c r="Y136" s="16" t="s">
        <v>148</v>
      </c>
      <c r="Z136" s="16"/>
    </row>
    <row r="137" spans="1:26" ht="14.25" customHeight="1" x14ac:dyDescent="0.35">
      <c r="A137" s="16" t="s">
        <v>250</v>
      </c>
      <c r="B137" s="16">
        <v>15</v>
      </c>
      <c r="C137" s="16" t="s">
        <v>315</v>
      </c>
      <c r="D137" s="16" t="s">
        <v>27</v>
      </c>
      <c r="E137" s="16" t="s">
        <v>55</v>
      </c>
      <c r="F137" s="16" t="s">
        <v>68</v>
      </c>
      <c r="G137" s="16" t="s">
        <v>47</v>
      </c>
      <c r="H137" s="16" t="s">
        <v>31</v>
      </c>
      <c r="I137" s="16" t="s">
        <v>74</v>
      </c>
      <c r="J137" s="16" t="s">
        <v>96</v>
      </c>
      <c r="K137" s="16" t="s">
        <v>80</v>
      </c>
      <c r="L137" s="16" t="s">
        <v>80</v>
      </c>
      <c r="M137" s="16">
        <v>0</v>
      </c>
      <c r="N137" s="16" t="s">
        <v>81</v>
      </c>
      <c r="O137" s="16" t="s">
        <v>81</v>
      </c>
      <c r="P137" s="16" t="s">
        <v>81</v>
      </c>
      <c r="Q137" s="16" t="s">
        <v>81</v>
      </c>
      <c r="R137" s="16" t="s">
        <v>81</v>
      </c>
      <c r="S137" s="16" t="s">
        <v>74</v>
      </c>
      <c r="T137" s="16" t="s">
        <v>82</v>
      </c>
      <c r="U137" s="16" t="s">
        <v>97</v>
      </c>
      <c r="V137" s="16" t="s">
        <v>42</v>
      </c>
      <c r="W137" s="16" t="s">
        <v>32</v>
      </c>
      <c r="X137" s="16" t="s">
        <v>42</v>
      </c>
      <c r="Y137" s="16" t="s">
        <v>99</v>
      </c>
      <c r="Z137" s="16"/>
    </row>
    <row r="138" spans="1:26" ht="14.25" customHeight="1" x14ac:dyDescent="0.35">
      <c r="A138" s="16" t="s">
        <v>251</v>
      </c>
      <c r="B138" s="16">
        <v>18</v>
      </c>
      <c r="C138" s="16" t="s">
        <v>315</v>
      </c>
      <c r="D138" s="16" t="s">
        <v>27</v>
      </c>
      <c r="E138" s="16" t="s">
        <v>28</v>
      </c>
      <c r="F138" s="16" t="s">
        <v>68</v>
      </c>
      <c r="G138" s="16" t="s">
        <v>30</v>
      </c>
      <c r="H138" s="16" t="s">
        <v>107</v>
      </c>
      <c r="I138" s="16" t="s">
        <v>32</v>
      </c>
      <c r="J138" s="16" t="s">
        <v>57</v>
      </c>
      <c r="K138" s="16" t="s">
        <v>34</v>
      </c>
      <c r="L138" s="16" t="s">
        <v>50</v>
      </c>
      <c r="M138" s="16">
        <v>5</v>
      </c>
      <c r="N138" s="16" t="s">
        <v>88</v>
      </c>
      <c r="O138" s="16" t="s">
        <v>104</v>
      </c>
      <c r="P138" s="16" t="s">
        <v>64</v>
      </c>
      <c r="Q138" s="16" t="s">
        <v>52</v>
      </c>
      <c r="R138" s="16" t="s">
        <v>40</v>
      </c>
      <c r="S138" s="16" t="s">
        <v>32</v>
      </c>
      <c r="T138" s="16">
        <v>4</v>
      </c>
      <c r="U138" s="16" t="s">
        <v>168</v>
      </c>
      <c r="V138" s="16" t="s">
        <v>114</v>
      </c>
      <c r="W138" s="16" t="s">
        <v>75</v>
      </c>
      <c r="X138" s="16" t="s">
        <v>114</v>
      </c>
      <c r="Y138" s="16" t="s">
        <v>169</v>
      </c>
      <c r="Z138" s="16"/>
    </row>
    <row r="139" spans="1:26" ht="14.25" customHeight="1" x14ac:dyDescent="0.35">
      <c r="A139" s="16" t="s">
        <v>252</v>
      </c>
      <c r="B139" s="16">
        <v>23</v>
      </c>
      <c r="C139" s="16" t="s">
        <v>319</v>
      </c>
      <c r="D139" s="16" t="s">
        <v>27</v>
      </c>
      <c r="E139" s="16" t="s">
        <v>28</v>
      </c>
      <c r="F139" s="16" t="s">
        <v>29</v>
      </c>
      <c r="G139" s="16" t="s">
        <v>30</v>
      </c>
      <c r="H139" s="16" t="s">
        <v>107</v>
      </c>
      <c r="I139" s="16" t="s">
        <v>32</v>
      </c>
      <c r="J139" s="16" t="s">
        <v>49</v>
      </c>
      <c r="K139" s="16" t="s">
        <v>34</v>
      </c>
      <c r="L139" s="16" t="s">
        <v>318</v>
      </c>
      <c r="M139" s="16">
        <v>2</v>
      </c>
      <c r="N139" s="16" t="s">
        <v>88</v>
      </c>
      <c r="O139" s="16" t="s">
        <v>89</v>
      </c>
      <c r="P139" s="16" t="s">
        <v>51</v>
      </c>
      <c r="Q139" s="16" t="s">
        <v>65</v>
      </c>
      <c r="R139" s="16" t="s">
        <v>116</v>
      </c>
      <c r="S139" s="16" t="s">
        <v>74</v>
      </c>
      <c r="T139" s="16">
        <v>2</v>
      </c>
      <c r="U139" s="16" t="s">
        <v>110</v>
      </c>
      <c r="V139" s="16" t="s">
        <v>132</v>
      </c>
      <c r="W139" s="16" t="s">
        <v>74</v>
      </c>
      <c r="X139" s="16" t="s">
        <v>132</v>
      </c>
      <c r="Y139" s="16" t="s">
        <v>76</v>
      </c>
      <c r="Z139" s="16"/>
    </row>
    <row r="140" spans="1:26" ht="14.25" customHeight="1" x14ac:dyDescent="0.35">
      <c r="A140" s="16" t="s">
        <v>253</v>
      </c>
      <c r="B140" s="16">
        <v>49</v>
      </c>
      <c r="C140" s="16" t="s">
        <v>316</v>
      </c>
      <c r="D140" s="16" t="s">
        <v>27</v>
      </c>
      <c r="E140" s="16" t="s">
        <v>33</v>
      </c>
      <c r="F140" s="16" t="s">
        <v>29</v>
      </c>
      <c r="G140" s="16" t="s">
        <v>87</v>
      </c>
      <c r="H140" s="16" t="s">
        <v>48</v>
      </c>
      <c r="I140" s="16" t="s">
        <v>32</v>
      </c>
      <c r="J140" s="16" t="s">
        <v>79</v>
      </c>
      <c r="K140" s="16" t="s">
        <v>34</v>
      </c>
      <c r="L140" s="16" t="s">
        <v>318</v>
      </c>
      <c r="M140" s="16">
        <v>1</v>
      </c>
      <c r="N140" s="16" t="s">
        <v>93</v>
      </c>
      <c r="O140" s="16" t="s">
        <v>142</v>
      </c>
      <c r="P140" s="16" t="s">
        <v>38</v>
      </c>
      <c r="Q140" s="16" t="s">
        <v>94</v>
      </c>
      <c r="R140" s="16" t="s">
        <v>101</v>
      </c>
      <c r="S140" s="16" t="s">
        <v>74</v>
      </c>
      <c r="T140" s="16">
        <v>1</v>
      </c>
      <c r="U140" s="16" t="s">
        <v>41</v>
      </c>
      <c r="V140" s="16" t="s">
        <v>42</v>
      </c>
      <c r="W140" s="16" t="s">
        <v>74</v>
      </c>
      <c r="X140" s="16" t="s">
        <v>42</v>
      </c>
      <c r="Y140" s="16" t="s">
        <v>76</v>
      </c>
      <c r="Z140" s="16"/>
    </row>
    <row r="141" spans="1:26" ht="14.25" customHeight="1" x14ac:dyDescent="0.35">
      <c r="A141" s="16" t="s">
        <v>254</v>
      </c>
      <c r="B141" s="16">
        <v>18</v>
      </c>
      <c r="C141" s="16" t="s">
        <v>315</v>
      </c>
      <c r="D141" s="16" t="s">
        <v>27</v>
      </c>
      <c r="E141" s="16" t="s">
        <v>55</v>
      </c>
      <c r="F141" s="16" t="s">
        <v>68</v>
      </c>
      <c r="G141" s="16" t="s">
        <v>87</v>
      </c>
      <c r="H141" s="16" t="s">
        <v>107</v>
      </c>
      <c r="I141" s="16" t="s">
        <v>32</v>
      </c>
      <c r="J141" s="16" t="s">
        <v>92</v>
      </c>
      <c r="K141" s="16" t="s">
        <v>80</v>
      </c>
      <c r="L141" s="16" t="s">
        <v>80</v>
      </c>
      <c r="M141" s="16">
        <v>0</v>
      </c>
      <c r="N141" s="16" t="s">
        <v>81</v>
      </c>
      <c r="O141" s="16" t="s">
        <v>81</v>
      </c>
      <c r="P141" s="16" t="s">
        <v>81</v>
      </c>
      <c r="Q141" s="16" t="s">
        <v>81</v>
      </c>
      <c r="R141" s="16" t="s">
        <v>81</v>
      </c>
      <c r="S141" s="16" t="s">
        <v>74</v>
      </c>
      <c r="T141" s="16" t="s">
        <v>82</v>
      </c>
      <c r="U141" s="16" t="s">
        <v>147</v>
      </c>
      <c r="V141" s="16" t="s">
        <v>132</v>
      </c>
      <c r="W141" s="16" t="s">
        <v>32</v>
      </c>
      <c r="X141" s="16" t="s">
        <v>132</v>
      </c>
      <c r="Y141" s="16" t="s">
        <v>148</v>
      </c>
      <c r="Z141" s="16"/>
    </row>
    <row r="142" spans="1:26" ht="14.25" customHeight="1" x14ac:dyDescent="0.35">
      <c r="A142" s="16" t="s">
        <v>255</v>
      </c>
      <c r="B142" s="16">
        <v>48</v>
      </c>
      <c r="C142" s="16" t="s">
        <v>316</v>
      </c>
      <c r="D142" s="16" t="s">
        <v>27</v>
      </c>
      <c r="E142" s="16" t="s">
        <v>78</v>
      </c>
      <c r="F142" s="16" t="s">
        <v>46</v>
      </c>
      <c r="G142" s="16" t="s">
        <v>72</v>
      </c>
      <c r="H142" s="16" t="s">
        <v>48</v>
      </c>
      <c r="I142" s="16" t="s">
        <v>32</v>
      </c>
      <c r="J142" s="16" t="s">
        <v>69</v>
      </c>
      <c r="K142" s="16" t="s">
        <v>34</v>
      </c>
      <c r="L142" s="16" t="s">
        <v>50</v>
      </c>
      <c r="M142" s="16">
        <v>3</v>
      </c>
      <c r="N142" s="16" t="s">
        <v>36</v>
      </c>
      <c r="O142" s="16" t="s">
        <v>37</v>
      </c>
      <c r="P142" s="16" t="s">
        <v>58</v>
      </c>
      <c r="Q142" s="16" t="s">
        <v>39</v>
      </c>
      <c r="R142" s="16" t="s">
        <v>40</v>
      </c>
      <c r="S142" s="16" t="s">
        <v>32</v>
      </c>
      <c r="T142" s="16">
        <v>5</v>
      </c>
      <c r="U142" s="16" t="s">
        <v>168</v>
      </c>
      <c r="V142" s="16" t="s">
        <v>84</v>
      </c>
      <c r="W142" s="16" t="s">
        <v>32</v>
      </c>
      <c r="X142" s="16" t="s">
        <v>84</v>
      </c>
      <c r="Y142" s="16" t="s">
        <v>169</v>
      </c>
      <c r="Z142" s="16"/>
    </row>
    <row r="143" spans="1:26" ht="14.25" customHeight="1" x14ac:dyDescent="0.35">
      <c r="A143" s="16" t="s">
        <v>256</v>
      </c>
      <c r="B143" s="16">
        <v>15</v>
      </c>
      <c r="C143" s="16" t="s">
        <v>315</v>
      </c>
      <c r="D143" s="16" t="s">
        <v>27</v>
      </c>
      <c r="E143" s="16" t="s">
        <v>55</v>
      </c>
      <c r="F143" s="16" t="s">
        <v>56</v>
      </c>
      <c r="G143" s="16" t="s">
        <v>30</v>
      </c>
      <c r="H143" s="16" t="s">
        <v>31</v>
      </c>
      <c r="I143" s="16" t="s">
        <v>32</v>
      </c>
      <c r="J143" s="16" t="s">
        <v>79</v>
      </c>
      <c r="K143" s="16" t="s">
        <v>34</v>
      </c>
      <c r="L143" s="16" t="s">
        <v>35</v>
      </c>
      <c r="M143" s="16">
        <v>2</v>
      </c>
      <c r="N143" s="16" t="s">
        <v>93</v>
      </c>
      <c r="O143" s="16" t="s">
        <v>142</v>
      </c>
      <c r="P143" s="16" t="s">
        <v>127</v>
      </c>
      <c r="Q143" s="16" t="s">
        <v>94</v>
      </c>
      <c r="R143" s="16" t="s">
        <v>101</v>
      </c>
      <c r="S143" s="16" t="s">
        <v>32</v>
      </c>
      <c r="T143" s="16">
        <v>1</v>
      </c>
      <c r="U143" s="16" t="s">
        <v>60</v>
      </c>
      <c r="V143" s="16" t="s">
        <v>114</v>
      </c>
      <c r="W143" s="16" t="s">
        <v>74</v>
      </c>
      <c r="X143" s="16" t="s">
        <v>114</v>
      </c>
      <c r="Y143" s="16" t="s">
        <v>61</v>
      </c>
      <c r="Z143" s="16"/>
    </row>
    <row r="144" spans="1:26" ht="14.25" customHeight="1" x14ac:dyDescent="0.35">
      <c r="A144" s="16" t="s">
        <v>257</v>
      </c>
      <c r="B144" s="16">
        <v>16</v>
      </c>
      <c r="C144" s="16" t="s">
        <v>315</v>
      </c>
      <c r="D144" s="16" t="s">
        <v>27</v>
      </c>
      <c r="E144" s="16" t="s">
        <v>55</v>
      </c>
      <c r="F144" s="16" t="s">
        <v>29</v>
      </c>
      <c r="G144" s="16" t="s">
        <v>30</v>
      </c>
      <c r="H144" s="16" t="s">
        <v>31</v>
      </c>
      <c r="I144" s="16" t="s">
        <v>32</v>
      </c>
      <c r="J144" s="16" t="s">
        <v>73</v>
      </c>
      <c r="K144" s="16" t="s">
        <v>34</v>
      </c>
      <c r="L144" s="16" t="s">
        <v>50</v>
      </c>
      <c r="M144" s="16">
        <v>4</v>
      </c>
      <c r="N144" s="16" t="s">
        <v>36</v>
      </c>
      <c r="O144" s="16" t="s">
        <v>37</v>
      </c>
      <c r="P144" s="16" t="s">
        <v>58</v>
      </c>
      <c r="Q144" s="16" t="s">
        <v>59</v>
      </c>
      <c r="R144" s="16" t="s">
        <v>70</v>
      </c>
      <c r="S144" s="16" t="s">
        <v>32</v>
      </c>
      <c r="T144" s="16">
        <v>3</v>
      </c>
      <c r="U144" s="16" t="s">
        <v>60</v>
      </c>
      <c r="V144" s="16" t="s">
        <v>42</v>
      </c>
      <c r="W144" s="16" t="s">
        <v>32</v>
      </c>
      <c r="X144" s="16" t="s">
        <v>42</v>
      </c>
      <c r="Y144" s="16" t="s">
        <v>61</v>
      </c>
      <c r="Z144" s="16"/>
    </row>
    <row r="145" spans="1:26" ht="14.25" customHeight="1" x14ac:dyDescent="0.35">
      <c r="A145" s="16" t="s">
        <v>258</v>
      </c>
      <c r="B145" s="16">
        <v>40</v>
      </c>
      <c r="C145" s="16" t="s">
        <v>316</v>
      </c>
      <c r="D145" s="16" t="s">
        <v>27</v>
      </c>
      <c r="E145" s="16" t="s">
        <v>28</v>
      </c>
      <c r="F145" s="16" t="s">
        <v>29</v>
      </c>
      <c r="G145" s="16" t="s">
        <v>87</v>
      </c>
      <c r="H145" s="16" t="s">
        <v>48</v>
      </c>
      <c r="I145" s="16" t="s">
        <v>32</v>
      </c>
      <c r="J145" s="16" t="s">
        <v>49</v>
      </c>
      <c r="K145" s="16" t="s">
        <v>34</v>
      </c>
      <c r="L145" s="16" t="s">
        <v>318</v>
      </c>
      <c r="M145" s="16">
        <v>2</v>
      </c>
      <c r="N145" s="16" t="s">
        <v>93</v>
      </c>
      <c r="O145" s="16" t="s">
        <v>142</v>
      </c>
      <c r="P145" s="16" t="s">
        <v>127</v>
      </c>
      <c r="Q145" s="16" t="s">
        <v>65</v>
      </c>
      <c r="R145" s="16" t="s">
        <v>116</v>
      </c>
      <c r="S145" s="16" t="s">
        <v>32</v>
      </c>
      <c r="T145" s="16">
        <v>2</v>
      </c>
      <c r="U145" s="16" t="s">
        <v>60</v>
      </c>
      <c r="V145" s="16" t="s">
        <v>84</v>
      </c>
      <c r="W145" s="16" t="s">
        <v>74</v>
      </c>
      <c r="X145" s="16" t="s">
        <v>84</v>
      </c>
      <c r="Y145" s="16" t="s">
        <v>61</v>
      </c>
      <c r="Z145" s="16"/>
    </row>
    <row r="146" spans="1:26" ht="14.25" customHeight="1" x14ac:dyDescent="0.35">
      <c r="A146" s="16" t="s">
        <v>259</v>
      </c>
      <c r="B146" s="16">
        <v>34</v>
      </c>
      <c r="C146" s="16" t="s">
        <v>317</v>
      </c>
      <c r="D146" s="16" t="s">
        <v>27</v>
      </c>
      <c r="E146" s="16" t="s">
        <v>28</v>
      </c>
      <c r="F146" s="16" t="s">
        <v>46</v>
      </c>
      <c r="G146" s="16" t="s">
        <v>72</v>
      </c>
      <c r="H146" s="16" t="s">
        <v>48</v>
      </c>
      <c r="I146" s="16" t="s">
        <v>74</v>
      </c>
      <c r="J146" s="16" t="s">
        <v>96</v>
      </c>
      <c r="K146" s="16" t="s">
        <v>80</v>
      </c>
      <c r="L146" s="16" t="s">
        <v>80</v>
      </c>
      <c r="M146" s="16">
        <v>0</v>
      </c>
      <c r="N146" s="16" t="s">
        <v>81</v>
      </c>
      <c r="O146" s="16" t="s">
        <v>81</v>
      </c>
      <c r="P146" s="16" t="s">
        <v>81</v>
      </c>
      <c r="Q146" s="16" t="s">
        <v>81</v>
      </c>
      <c r="R146" s="16" t="s">
        <v>81</v>
      </c>
      <c r="S146" s="16" t="s">
        <v>74</v>
      </c>
      <c r="T146" s="16" t="s">
        <v>82</v>
      </c>
      <c r="U146" s="16" t="s">
        <v>97</v>
      </c>
      <c r="V146" s="16" t="s">
        <v>132</v>
      </c>
      <c r="W146" s="16" t="s">
        <v>32</v>
      </c>
      <c r="X146" s="16" t="s">
        <v>132</v>
      </c>
      <c r="Y146" s="16" t="s">
        <v>99</v>
      </c>
      <c r="Z146" s="16"/>
    </row>
    <row r="147" spans="1:26" ht="14.25" customHeight="1" x14ac:dyDescent="0.35">
      <c r="A147" s="16" t="s">
        <v>260</v>
      </c>
      <c r="B147" s="16">
        <v>27</v>
      </c>
      <c r="C147" s="16" t="s">
        <v>319</v>
      </c>
      <c r="D147" s="16" t="s">
        <v>27</v>
      </c>
      <c r="E147" s="16" t="s">
        <v>28</v>
      </c>
      <c r="F147" s="16" t="s">
        <v>29</v>
      </c>
      <c r="G147" s="16" t="s">
        <v>87</v>
      </c>
      <c r="H147" s="16" t="s">
        <v>107</v>
      </c>
      <c r="I147" s="16" t="s">
        <v>32</v>
      </c>
      <c r="J147" s="16" t="s">
        <v>33</v>
      </c>
      <c r="K147" s="16" t="s">
        <v>34</v>
      </c>
      <c r="L147" s="16" t="s">
        <v>50</v>
      </c>
      <c r="M147" s="16">
        <v>2</v>
      </c>
      <c r="N147" s="16" t="s">
        <v>88</v>
      </c>
      <c r="O147" s="16" t="s">
        <v>104</v>
      </c>
      <c r="P147" s="16" t="s">
        <v>64</v>
      </c>
      <c r="Q147" s="16" t="s">
        <v>65</v>
      </c>
      <c r="R147" s="16" t="s">
        <v>101</v>
      </c>
      <c r="S147" s="16" t="s">
        <v>74</v>
      </c>
      <c r="T147" s="16">
        <v>2</v>
      </c>
      <c r="U147" s="16" t="s">
        <v>90</v>
      </c>
      <c r="V147" s="16" t="s">
        <v>98</v>
      </c>
      <c r="W147" s="16" t="s">
        <v>75</v>
      </c>
      <c r="X147" s="16" t="s">
        <v>98</v>
      </c>
      <c r="Y147" s="16" t="s">
        <v>76</v>
      </c>
      <c r="Z147" s="16"/>
    </row>
    <row r="148" spans="1:26" ht="14.25" customHeight="1" x14ac:dyDescent="0.35">
      <c r="A148" s="16" t="s">
        <v>261</v>
      </c>
      <c r="B148" s="16">
        <v>15</v>
      </c>
      <c r="C148" s="16" t="s">
        <v>315</v>
      </c>
      <c r="D148" s="16" t="s">
        <v>27</v>
      </c>
      <c r="E148" s="16" t="s">
        <v>28</v>
      </c>
      <c r="F148" s="16" t="s">
        <v>29</v>
      </c>
      <c r="G148" s="16" t="s">
        <v>87</v>
      </c>
      <c r="H148" s="16" t="s">
        <v>31</v>
      </c>
      <c r="I148" s="16" t="s">
        <v>32</v>
      </c>
      <c r="J148" s="16" t="s">
        <v>69</v>
      </c>
      <c r="K148" s="16" t="s">
        <v>80</v>
      </c>
      <c r="L148" s="16" t="s">
        <v>80</v>
      </c>
      <c r="M148" s="16">
        <v>0</v>
      </c>
      <c r="N148" s="16" t="s">
        <v>81</v>
      </c>
      <c r="O148" s="16" t="s">
        <v>81</v>
      </c>
      <c r="P148" s="16" t="s">
        <v>81</v>
      </c>
      <c r="Q148" s="16" t="s">
        <v>81</v>
      </c>
      <c r="R148" s="16" t="s">
        <v>81</v>
      </c>
      <c r="S148" s="16" t="s">
        <v>74</v>
      </c>
      <c r="T148" s="16" t="s">
        <v>82</v>
      </c>
      <c r="U148" s="16" t="s">
        <v>147</v>
      </c>
      <c r="V148" s="16" t="s">
        <v>114</v>
      </c>
      <c r="W148" s="16" t="s">
        <v>75</v>
      </c>
      <c r="X148" s="16" t="s">
        <v>114</v>
      </c>
      <c r="Y148" s="16" t="s">
        <v>148</v>
      </c>
      <c r="Z148" s="16"/>
    </row>
    <row r="149" spans="1:26" ht="14.25" customHeight="1" x14ac:dyDescent="0.35">
      <c r="A149" s="16" t="s">
        <v>262</v>
      </c>
      <c r="B149" s="16">
        <v>38</v>
      </c>
      <c r="C149" s="16" t="s">
        <v>317</v>
      </c>
      <c r="D149" s="16" t="s">
        <v>27</v>
      </c>
      <c r="E149" s="16" t="s">
        <v>28</v>
      </c>
      <c r="F149" s="16" t="s">
        <v>181</v>
      </c>
      <c r="G149" s="16" t="s">
        <v>87</v>
      </c>
      <c r="H149" s="16" t="s">
        <v>48</v>
      </c>
      <c r="I149" s="16" t="s">
        <v>32</v>
      </c>
      <c r="J149" s="16" t="s">
        <v>49</v>
      </c>
      <c r="K149" s="16" t="s">
        <v>34</v>
      </c>
      <c r="L149" s="16" t="s">
        <v>318</v>
      </c>
      <c r="M149" s="16">
        <v>3</v>
      </c>
      <c r="N149" s="16" t="s">
        <v>93</v>
      </c>
      <c r="O149" s="16" t="s">
        <v>89</v>
      </c>
      <c r="P149" s="16" t="s">
        <v>127</v>
      </c>
      <c r="Q149" s="16" t="s">
        <v>94</v>
      </c>
      <c r="R149" s="16" t="s">
        <v>116</v>
      </c>
      <c r="S149" s="16" t="s">
        <v>32</v>
      </c>
      <c r="T149" s="16">
        <v>1</v>
      </c>
      <c r="U149" s="16" t="s">
        <v>168</v>
      </c>
      <c r="V149" s="16" t="s">
        <v>42</v>
      </c>
      <c r="W149" s="16" t="s">
        <v>74</v>
      </c>
      <c r="X149" s="16" t="s">
        <v>42</v>
      </c>
      <c r="Y149" s="16" t="s">
        <v>169</v>
      </c>
      <c r="Z149" s="16"/>
    </row>
    <row r="150" spans="1:26" ht="14.25" customHeight="1" x14ac:dyDescent="0.35">
      <c r="A150" s="16" t="s">
        <v>263</v>
      </c>
      <c r="B150" s="16">
        <v>59</v>
      </c>
      <c r="C150" s="16" t="s">
        <v>63</v>
      </c>
      <c r="D150" s="16" t="s">
        <v>27</v>
      </c>
      <c r="E150" s="16" t="s">
        <v>78</v>
      </c>
      <c r="F150" s="16" t="s">
        <v>46</v>
      </c>
      <c r="G150" s="16" t="s">
        <v>72</v>
      </c>
      <c r="H150" s="16" t="s">
        <v>48</v>
      </c>
      <c r="I150" s="16" t="s">
        <v>32</v>
      </c>
      <c r="J150" s="16" t="s">
        <v>69</v>
      </c>
      <c r="K150" s="16" t="s">
        <v>34</v>
      </c>
      <c r="L150" s="16" t="s">
        <v>50</v>
      </c>
      <c r="M150" s="16">
        <v>4</v>
      </c>
      <c r="N150" s="16" t="s">
        <v>36</v>
      </c>
      <c r="O150" s="16" t="s">
        <v>37</v>
      </c>
      <c r="P150" s="16" t="s">
        <v>58</v>
      </c>
      <c r="Q150" s="16" t="s">
        <v>39</v>
      </c>
      <c r="R150" s="16" t="s">
        <v>40</v>
      </c>
      <c r="S150" s="16" t="s">
        <v>32</v>
      </c>
      <c r="T150" s="16">
        <v>3</v>
      </c>
      <c r="U150" s="16" t="s">
        <v>168</v>
      </c>
      <c r="V150" s="16" t="s">
        <v>42</v>
      </c>
      <c r="W150" s="16" t="s">
        <v>32</v>
      </c>
      <c r="X150" s="16" t="s">
        <v>42</v>
      </c>
      <c r="Y150" s="16" t="s">
        <v>169</v>
      </c>
      <c r="Z150" s="16"/>
    </row>
    <row r="151" spans="1:26" ht="14.25" customHeight="1" x14ac:dyDescent="0.35">
      <c r="A151" s="16" t="s">
        <v>264</v>
      </c>
      <c r="B151" s="16">
        <v>19</v>
      </c>
      <c r="C151" s="16" t="s">
        <v>315</v>
      </c>
      <c r="D151" s="16" t="s">
        <v>27</v>
      </c>
      <c r="E151" s="16" t="s">
        <v>28</v>
      </c>
      <c r="F151" s="16" t="s">
        <v>29</v>
      </c>
      <c r="G151" s="16" t="s">
        <v>30</v>
      </c>
      <c r="H151" s="16" t="s">
        <v>107</v>
      </c>
      <c r="I151" s="16" t="s">
        <v>32</v>
      </c>
      <c r="J151" s="16" t="s">
        <v>33</v>
      </c>
      <c r="K151" s="16" t="s">
        <v>34</v>
      </c>
      <c r="L151" s="16" t="s">
        <v>35</v>
      </c>
      <c r="M151" s="16">
        <v>2</v>
      </c>
      <c r="N151" s="16" t="s">
        <v>88</v>
      </c>
      <c r="O151" s="16" t="s">
        <v>104</v>
      </c>
      <c r="P151" s="16" t="s">
        <v>51</v>
      </c>
      <c r="Q151" s="16" t="s">
        <v>94</v>
      </c>
      <c r="R151" s="16" t="s">
        <v>101</v>
      </c>
      <c r="S151" s="16" t="s">
        <v>32</v>
      </c>
      <c r="T151" s="16">
        <v>1</v>
      </c>
      <c r="U151" s="16" t="s">
        <v>90</v>
      </c>
      <c r="V151" s="16" t="s">
        <v>84</v>
      </c>
      <c r="W151" s="16" t="s">
        <v>75</v>
      </c>
      <c r="X151" s="16" t="s">
        <v>84</v>
      </c>
      <c r="Y151" s="16" t="s">
        <v>108</v>
      </c>
      <c r="Z151" s="16"/>
    </row>
    <row r="152" spans="1:26" ht="14.25" customHeight="1" x14ac:dyDescent="0.35">
      <c r="A152" s="16" t="s">
        <v>265</v>
      </c>
      <c r="B152" s="16">
        <v>14</v>
      </c>
      <c r="C152" s="16" t="s">
        <v>315</v>
      </c>
      <c r="D152" s="16" t="s">
        <v>27</v>
      </c>
      <c r="E152" s="16" t="s">
        <v>28</v>
      </c>
      <c r="F152" s="16" t="s">
        <v>68</v>
      </c>
      <c r="G152" s="16" t="s">
        <v>72</v>
      </c>
      <c r="H152" s="16" t="s">
        <v>31</v>
      </c>
      <c r="I152" s="16" t="s">
        <v>32</v>
      </c>
      <c r="J152" s="16" t="s">
        <v>92</v>
      </c>
      <c r="K152" s="16" t="s">
        <v>34</v>
      </c>
      <c r="L152" s="16" t="s">
        <v>50</v>
      </c>
      <c r="M152" s="16">
        <v>3</v>
      </c>
      <c r="N152" s="16" t="s">
        <v>36</v>
      </c>
      <c r="O152" s="16" t="s">
        <v>37</v>
      </c>
      <c r="P152" s="16" t="s">
        <v>64</v>
      </c>
      <c r="Q152" s="16" t="s">
        <v>65</v>
      </c>
      <c r="R152" s="16" t="s">
        <v>116</v>
      </c>
      <c r="S152" s="16" t="s">
        <v>32</v>
      </c>
      <c r="T152" s="16">
        <v>2</v>
      </c>
      <c r="U152" s="16" t="s">
        <v>168</v>
      </c>
      <c r="V152" s="16" t="s">
        <v>98</v>
      </c>
      <c r="W152" s="16" t="s">
        <v>75</v>
      </c>
      <c r="X152" s="16" t="s">
        <v>98</v>
      </c>
      <c r="Y152" s="16" t="s">
        <v>169</v>
      </c>
      <c r="Z152" s="16"/>
    </row>
    <row r="153" spans="1:26" ht="14.25" customHeight="1" x14ac:dyDescent="0.35">
      <c r="A153" s="16" t="s">
        <v>266</v>
      </c>
      <c r="B153" s="16">
        <v>17</v>
      </c>
      <c r="C153" s="16" t="s">
        <v>315</v>
      </c>
      <c r="D153" s="16" t="s">
        <v>27</v>
      </c>
      <c r="E153" s="16" t="s">
        <v>28</v>
      </c>
      <c r="F153" s="16" t="s">
        <v>181</v>
      </c>
      <c r="G153" s="16" t="s">
        <v>87</v>
      </c>
      <c r="H153" s="16" t="s">
        <v>31</v>
      </c>
      <c r="I153" s="16" t="s">
        <v>32</v>
      </c>
      <c r="J153" s="16" t="s">
        <v>92</v>
      </c>
      <c r="K153" s="16" t="s">
        <v>34</v>
      </c>
      <c r="L153" s="16" t="s">
        <v>50</v>
      </c>
      <c r="M153" s="16">
        <v>4</v>
      </c>
      <c r="N153" s="16" t="s">
        <v>88</v>
      </c>
      <c r="O153" s="16" t="s">
        <v>104</v>
      </c>
      <c r="P153" s="16" t="s">
        <v>51</v>
      </c>
      <c r="Q153" s="16" t="s">
        <v>52</v>
      </c>
      <c r="R153" s="16" t="s">
        <v>53</v>
      </c>
      <c r="S153" s="16" t="s">
        <v>74</v>
      </c>
      <c r="T153" s="16">
        <v>4</v>
      </c>
      <c r="U153" s="16" t="s">
        <v>90</v>
      </c>
      <c r="V153" s="16" t="s">
        <v>42</v>
      </c>
      <c r="W153" s="16" t="s">
        <v>75</v>
      </c>
      <c r="X153" s="16" t="s">
        <v>42</v>
      </c>
      <c r="Y153" s="16" t="s">
        <v>76</v>
      </c>
      <c r="Z153" s="16"/>
    </row>
    <row r="154" spans="1:26" ht="14.25" customHeight="1" x14ac:dyDescent="0.35">
      <c r="A154" s="16" t="s">
        <v>267</v>
      </c>
      <c r="B154" s="16">
        <v>55</v>
      </c>
      <c r="C154" s="16" t="s">
        <v>63</v>
      </c>
      <c r="D154" s="16" t="s">
        <v>27</v>
      </c>
      <c r="E154" s="16" t="s">
        <v>78</v>
      </c>
      <c r="F154" s="16" t="s">
        <v>68</v>
      </c>
      <c r="G154" s="16" t="s">
        <v>30</v>
      </c>
      <c r="H154" s="16" t="s">
        <v>48</v>
      </c>
      <c r="I154" s="16" t="s">
        <v>32</v>
      </c>
      <c r="J154" s="16" t="s">
        <v>49</v>
      </c>
      <c r="K154" s="16" t="s">
        <v>34</v>
      </c>
      <c r="L154" s="16" t="s">
        <v>50</v>
      </c>
      <c r="M154" s="16">
        <v>5</v>
      </c>
      <c r="N154" s="16" t="s">
        <v>88</v>
      </c>
      <c r="O154" s="16" t="s">
        <v>104</v>
      </c>
      <c r="P154" s="16" t="s">
        <v>64</v>
      </c>
      <c r="Q154" s="16" t="s">
        <v>52</v>
      </c>
      <c r="R154" s="16" t="s">
        <v>53</v>
      </c>
      <c r="S154" s="16" t="s">
        <v>74</v>
      </c>
      <c r="T154" s="16">
        <v>2</v>
      </c>
      <c r="U154" s="16" t="s">
        <v>110</v>
      </c>
      <c r="V154" s="16" t="s">
        <v>98</v>
      </c>
      <c r="W154" s="16" t="s">
        <v>32</v>
      </c>
      <c r="X154" s="16" t="s">
        <v>98</v>
      </c>
      <c r="Y154" s="16" t="s">
        <v>76</v>
      </c>
      <c r="Z154" s="16"/>
    </row>
    <row r="155" spans="1:26" ht="14.25" customHeight="1" x14ac:dyDescent="0.35">
      <c r="A155" s="16" t="s">
        <v>268</v>
      </c>
      <c r="B155" s="16">
        <v>16</v>
      </c>
      <c r="C155" s="16" t="s">
        <v>315</v>
      </c>
      <c r="D155" s="16" t="s">
        <v>27</v>
      </c>
      <c r="E155" s="16" t="s">
        <v>55</v>
      </c>
      <c r="F155" s="16" t="s">
        <v>29</v>
      </c>
      <c r="G155" s="16" t="s">
        <v>87</v>
      </c>
      <c r="H155" s="16" t="s">
        <v>31</v>
      </c>
      <c r="I155" s="16" t="s">
        <v>32</v>
      </c>
      <c r="J155" s="16" t="s">
        <v>92</v>
      </c>
      <c r="K155" s="16" t="s">
        <v>80</v>
      </c>
      <c r="L155" s="16" t="s">
        <v>80</v>
      </c>
      <c r="M155" s="16">
        <v>0</v>
      </c>
      <c r="N155" s="16" t="s">
        <v>81</v>
      </c>
      <c r="O155" s="16" t="s">
        <v>81</v>
      </c>
      <c r="P155" s="16" t="s">
        <v>81</v>
      </c>
      <c r="Q155" s="16" t="s">
        <v>81</v>
      </c>
      <c r="R155" s="16" t="s">
        <v>81</v>
      </c>
      <c r="S155" s="16" t="s">
        <v>74</v>
      </c>
      <c r="T155" s="16" t="s">
        <v>82</v>
      </c>
      <c r="U155" s="16" t="s">
        <v>147</v>
      </c>
      <c r="V155" s="16" t="s">
        <v>42</v>
      </c>
      <c r="W155" s="16" t="s">
        <v>32</v>
      </c>
      <c r="X155" s="16" t="s">
        <v>42</v>
      </c>
      <c r="Y155" s="16" t="s">
        <v>148</v>
      </c>
      <c r="Z155" s="16"/>
    </row>
    <row r="156" spans="1:26" ht="14.25" customHeight="1" x14ac:dyDescent="0.35">
      <c r="A156" s="16" t="s">
        <v>269</v>
      </c>
      <c r="B156" s="16">
        <v>43</v>
      </c>
      <c r="C156" s="16" t="s">
        <v>316</v>
      </c>
      <c r="D156" s="16" t="s">
        <v>27</v>
      </c>
      <c r="E156" s="16" t="s">
        <v>33</v>
      </c>
      <c r="F156" s="16" t="s">
        <v>29</v>
      </c>
      <c r="G156" s="16" t="s">
        <v>47</v>
      </c>
      <c r="H156" s="16" t="s">
        <v>48</v>
      </c>
      <c r="I156" s="16" t="s">
        <v>32</v>
      </c>
      <c r="J156" s="16" t="s">
        <v>92</v>
      </c>
      <c r="K156" s="16" t="s">
        <v>34</v>
      </c>
      <c r="L156" s="16" t="s">
        <v>50</v>
      </c>
      <c r="M156" s="16">
        <v>2</v>
      </c>
      <c r="N156" s="16" t="s">
        <v>36</v>
      </c>
      <c r="O156" s="16" t="s">
        <v>37</v>
      </c>
      <c r="P156" s="16" t="s">
        <v>64</v>
      </c>
      <c r="Q156" s="16" t="s">
        <v>65</v>
      </c>
      <c r="R156" s="16" t="s">
        <v>101</v>
      </c>
      <c r="S156" s="16" t="s">
        <v>74</v>
      </c>
      <c r="T156" s="16">
        <v>2</v>
      </c>
      <c r="U156" s="16" t="s">
        <v>41</v>
      </c>
      <c r="V156" s="16" t="s">
        <v>84</v>
      </c>
      <c r="W156" s="16" t="s">
        <v>75</v>
      </c>
      <c r="X156" s="16" t="s">
        <v>84</v>
      </c>
      <c r="Y156" s="16" t="s">
        <v>76</v>
      </c>
      <c r="Z156" s="16"/>
    </row>
    <row r="157" spans="1:26" ht="14.25" customHeight="1" x14ac:dyDescent="0.35">
      <c r="A157" s="16" t="s">
        <v>270</v>
      </c>
      <c r="B157" s="16">
        <v>19</v>
      </c>
      <c r="C157" s="16" t="s">
        <v>315</v>
      </c>
      <c r="D157" s="16" t="s">
        <v>27</v>
      </c>
      <c r="E157" s="16" t="s">
        <v>55</v>
      </c>
      <c r="F157" s="16" t="s">
        <v>29</v>
      </c>
      <c r="G157" s="16" t="s">
        <v>47</v>
      </c>
      <c r="H157" s="16" t="s">
        <v>107</v>
      </c>
      <c r="I157" s="16" t="s">
        <v>32</v>
      </c>
      <c r="J157" s="16" t="s">
        <v>57</v>
      </c>
      <c r="K157" s="16" t="s">
        <v>34</v>
      </c>
      <c r="L157" s="16" t="s">
        <v>35</v>
      </c>
      <c r="M157" s="16">
        <v>5</v>
      </c>
      <c r="N157" s="16" t="s">
        <v>36</v>
      </c>
      <c r="O157" s="16" t="s">
        <v>37</v>
      </c>
      <c r="P157" s="16" t="s">
        <v>38</v>
      </c>
      <c r="Q157" s="16" t="s">
        <v>39</v>
      </c>
      <c r="R157" s="16" t="s">
        <v>70</v>
      </c>
      <c r="S157" s="16" t="s">
        <v>32</v>
      </c>
      <c r="T157" s="16">
        <v>5</v>
      </c>
      <c r="U157" s="16" t="s">
        <v>121</v>
      </c>
      <c r="V157" s="16" t="s">
        <v>84</v>
      </c>
      <c r="W157" s="16" t="s">
        <v>32</v>
      </c>
      <c r="X157" s="16" t="s">
        <v>84</v>
      </c>
      <c r="Y157" s="16" t="s">
        <v>122</v>
      </c>
      <c r="Z157" s="16"/>
    </row>
    <row r="158" spans="1:26" ht="14.25" customHeight="1" x14ac:dyDescent="0.35">
      <c r="A158" s="16" t="s">
        <v>271</v>
      </c>
      <c r="B158" s="16">
        <v>57</v>
      </c>
      <c r="C158" s="16" t="s">
        <v>63</v>
      </c>
      <c r="D158" s="16" t="s">
        <v>27</v>
      </c>
      <c r="E158" s="16" t="s">
        <v>78</v>
      </c>
      <c r="F158" s="16" t="s">
        <v>68</v>
      </c>
      <c r="G158" s="16" t="s">
        <v>87</v>
      </c>
      <c r="H158" s="16" t="s">
        <v>48</v>
      </c>
      <c r="I158" s="16" t="s">
        <v>32</v>
      </c>
      <c r="J158" s="16" t="s">
        <v>49</v>
      </c>
      <c r="K158" s="16" t="s">
        <v>80</v>
      </c>
      <c r="L158" s="16" t="s">
        <v>80</v>
      </c>
      <c r="M158" s="16">
        <v>0</v>
      </c>
      <c r="N158" s="16" t="s">
        <v>81</v>
      </c>
      <c r="O158" s="16" t="s">
        <v>81</v>
      </c>
      <c r="P158" s="16" t="s">
        <v>81</v>
      </c>
      <c r="Q158" s="16" t="s">
        <v>81</v>
      </c>
      <c r="R158" s="16" t="s">
        <v>81</v>
      </c>
      <c r="S158" s="16" t="s">
        <v>74</v>
      </c>
      <c r="T158" s="16" t="s">
        <v>82</v>
      </c>
      <c r="U158" s="16" t="s">
        <v>83</v>
      </c>
      <c r="V158" s="16" t="s">
        <v>42</v>
      </c>
      <c r="W158" s="16" t="s">
        <v>32</v>
      </c>
      <c r="X158" s="16" t="s">
        <v>42</v>
      </c>
      <c r="Y158" s="16" t="s">
        <v>85</v>
      </c>
      <c r="Z158" s="16"/>
    </row>
    <row r="159" spans="1:26" ht="14.25" customHeight="1" x14ac:dyDescent="0.35">
      <c r="A159" s="16" t="s">
        <v>272</v>
      </c>
      <c r="B159" s="16">
        <v>37</v>
      </c>
      <c r="C159" s="16" t="s">
        <v>317</v>
      </c>
      <c r="D159" s="16" t="s">
        <v>27</v>
      </c>
      <c r="E159" s="16" t="s">
        <v>28</v>
      </c>
      <c r="F159" s="16" t="s">
        <v>29</v>
      </c>
      <c r="G159" s="16" t="s">
        <v>30</v>
      </c>
      <c r="H159" s="16" t="s">
        <v>48</v>
      </c>
      <c r="I159" s="16" t="s">
        <v>32</v>
      </c>
      <c r="J159" s="16" t="s">
        <v>79</v>
      </c>
      <c r="K159" s="16" t="s">
        <v>34</v>
      </c>
      <c r="L159" s="16" t="s">
        <v>50</v>
      </c>
      <c r="M159" s="16">
        <v>3</v>
      </c>
      <c r="N159" s="16" t="s">
        <v>88</v>
      </c>
      <c r="O159" s="16" t="s">
        <v>104</v>
      </c>
      <c r="P159" s="16" t="s">
        <v>51</v>
      </c>
      <c r="Q159" s="16" t="s">
        <v>52</v>
      </c>
      <c r="R159" s="16" t="s">
        <v>116</v>
      </c>
      <c r="S159" s="16" t="s">
        <v>32</v>
      </c>
      <c r="T159" s="16">
        <v>3</v>
      </c>
      <c r="U159" s="16" t="s">
        <v>90</v>
      </c>
      <c r="V159" s="16" t="s">
        <v>42</v>
      </c>
      <c r="W159" s="16" t="s">
        <v>74</v>
      </c>
      <c r="X159" s="16" t="s">
        <v>42</v>
      </c>
      <c r="Y159" s="16" t="s">
        <v>108</v>
      </c>
      <c r="Z159" s="16"/>
    </row>
    <row r="160" spans="1:26" ht="14.25" customHeight="1" x14ac:dyDescent="0.35">
      <c r="A160" s="16" t="s">
        <v>273</v>
      </c>
      <c r="B160" s="16">
        <v>44</v>
      </c>
      <c r="C160" s="16" t="s">
        <v>316</v>
      </c>
      <c r="D160" s="16" t="s">
        <v>27</v>
      </c>
      <c r="E160" s="16" t="s">
        <v>118</v>
      </c>
      <c r="F160" s="16" t="s">
        <v>56</v>
      </c>
      <c r="G160" s="16" t="s">
        <v>30</v>
      </c>
      <c r="H160" s="16" t="s">
        <v>48</v>
      </c>
      <c r="I160" s="16" t="s">
        <v>32</v>
      </c>
      <c r="J160" s="16" t="s">
        <v>92</v>
      </c>
      <c r="K160" s="16" t="s">
        <v>80</v>
      </c>
      <c r="L160" s="16" t="s">
        <v>80</v>
      </c>
      <c r="M160" s="16">
        <v>0</v>
      </c>
      <c r="N160" s="16" t="s">
        <v>81</v>
      </c>
      <c r="O160" s="16" t="s">
        <v>81</v>
      </c>
      <c r="P160" s="16" t="s">
        <v>81</v>
      </c>
      <c r="Q160" s="16" t="s">
        <v>81</v>
      </c>
      <c r="R160" s="16" t="s">
        <v>81</v>
      </c>
      <c r="S160" s="16" t="s">
        <v>74</v>
      </c>
      <c r="T160" s="16" t="s">
        <v>82</v>
      </c>
      <c r="U160" s="16" t="s">
        <v>83</v>
      </c>
      <c r="V160" s="16" t="s">
        <v>84</v>
      </c>
      <c r="W160" s="16" t="s">
        <v>75</v>
      </c>
      <c r="X160" s="16" t="s">
        <v>84</v>
      </c>
      <c r="Y160" s="16" t="s">
        <v>85</v>
      </c>
      <c r="Z160" s="16"/>
    </row>
    <row r="161" spans="1:26" ht="14.25" customHeight="1" x14ac:dyDescent="0.35">
      <c r="A161" s="16" t="s">
        <v>274</v>
      </c>
      <c r="B161" s="16">
        <v>14</v>
      </c>
      <c r="C161" s="16" t="s">
        <v>315</v>
      </c>
      <c r="D161" s="16" t="s">
        <v>27</v>
      </c>
      <c r="E161" s="16" t="s">
        <v>28</v>
      </c>
      <c r="F161" s="16" t="s">
        <v>29</v>
      </c>
      <c r="G161" s="16" t="s">
        <v>30</v>
      </c>
      <c r="H161" s="16" t="s">
        <v>31</v>
      </c>
      <c r="I161" s="16" t="s">
        <v>32</v>
      </c>
      <c r="J161" s="16" t="s">
        <v>92</v>
      </c>
      <c r="K161" s="16" t="s">
        <v>34</v>
      </c>
      <c r="L161" s="16" t="s">
        <v>318</v>
      </c>
      <c r="M161" s="16">
        <v>3</v>
      </c>
      <c r="N161" s="16" t="s">
        <v>88</v>
      </c>
      <c r="O161" s="16" t="s">
        <v>104</v>
      </c>
      <c r="P161" s="16" t="s">
        <v>51</v>
      </c>
      <c r="Q161" s="16" t="s">
        <v>65</v>
      </c>
      <c r="R161" s="16" t="s">
        <v>116</v>
      </c>
      <c r="S161" s="16" t="s">
        <v>32</v>
      </c>
      <c r="T161" s="16">
        <v>2</v>
      </c>
      <c r="U161" s="16" t="s">
        <v>90</v>
      </c>
      <c r="V161" s="16" t="s">
        <v>114</v>
      </c>
      <c r="W161" s="16" t="s">
        <v>74</v>
      </c>
      <c r="X161" s="16" t="s">
        <v>114</v>
      </c>
      <c r="Y161" s="16" t="s">
        <v>108</v>
      </c>
      <c r="Z161" s="16"/>
    </row>
    <row r="162" spans="1:26" ht="14.25" customHeight="1" x14ac:dyDescent="0.35">
      <c r="A162" s="16" t="s">
        <v>275</v>
      </c>
      <c r="B162" s="16">
        <v>51</v>
      </c>
      <c r="C162" s="16" t="s">
        <v>63</v>
      </c>
      <c r="D162" s="16" t="s">
        <v>27</v>
      </c>
      <c r="E162" s="16" t="s">
        <v>78</v>
      </c>
      <c r="F162" s="16" t="s">
        <v>29</v>
      </c>
      <c r="G162" s="16" t="s">
        <v>87</v>
      </c>
      <c r="H162" s="16" t="s">
        <v>48</v>
      </c>
      <c r="I162" s="16" t="s">
        <v>32</v>
      </c>
      <c r="J162" s="16" t="s">
        <v>49</v>
      </c>
      <c r="K162" s="16" t="s">
        <v>34</v>
      </c>
      <c r="L162" s="16" t="s">
        <v>35</v>
      </c>
      <c r="M162" s="16">
        <v>2</v>
      </c>
      <c r="N162" s="16" t="s">
        <v>93</v>
      </c>
      <c r="O162" s="16" t="s">
        <v>142</v>
      </c>
      <c r="P162" s="16" t="s">
        <v>127</v>
      </c>
      <c r="Q162" s="16" t="s">
        <v>94</v>
      </c>
      <c r="R162" s="16" t="s">
        <v>116</v>
      </c>
      <c r="S162" s="16" t="s">
        <v>74</v>
      </c>
      <c r="T162" s="16">
        <v>1</v>
      </c>
      <c r="U162" s="16" t="s">
        <v>60</v>
      </c>
      <c r="V162" s="16" t="s">
        <v>132</v>
      </c>
      <c r="W162" s="16" t="s">
        <v>74</v>
      </c>
      <c r="X162" s="16" t="s">
        <v>132</v>
      </c>
      <c r="Y162" s="16" t="s">
        <v>76</v>
      </c>
      <c r="Z162" s="16"/>
    </row>
    <row r="163" spans="1:26" ht="14.25" customHeight="1" x14ac:dyDescent="0.35">
      <c r="A163" s="16" t="s">
        <v>276</v>
      </c>
      <c r="B163" s="16">
        <v>53</v>
      </c>
      <c r="C163" s="16" t="s">
        <v>63</v>
      </c>
      <c r="D163" s="16" t="s">
        <v>27</v>
      </c>
      <c r="E163" s="16" t="s">
        <v>118</v>
      </c>
      <c r="F163" s="16" t="s">
        <v>68</v>
      </c>
      <c r="G163" s="16" t="s">
        <v>30</v>
      </c>
      <c r="H163" s="16" t="s">
        <v>119</v>
      </c>
      <c r="I163" s="16" t="s">
        <v>32</v>
      </c>
      <c r="J163" s="16" t="s">
        <v>92</v>
      </c>
      <c r="K163" s="16" t="s">
        <v>34</v>
      </c>
      <c r="L163" s="16" t="s">
        <v>50</v>
      </c>
      <c r="M163" s="16">
        <v>3</v>
      </c>
      <c r="N163" s="16" t="s">
        <v>88</v>
      </c>
      <c r="O163" s="16" t="s">
        <v>104</v>
      </c>
      <c r="P163" s="16" t="s">
        <v>51</v>
      </c>
      <c r="Q163" s="16" t="s">
        <v>65</v>
      </c>
      <c r="R163" s="16" t="s">
        <v>116</v>
      </c>
      <c r="S163" s="16" t="s">
        <v>32</v>
      </c>
      <c r="T163" s="16">
        <v>1</v>
      </c>
      <c r="U163" s="16" t="s">
        <v>41</v>
      </c>
      <c r="V163" s="16" t="s">
        <v>84</v>
      </c>
      <c r="W163" s="16" t="s">
        <v>74</v>
      </c>
      <c r="X163" s="16" t="s">
        <v>84</v>
      </c>
      <c r="Y163" s="16" t="s">
        <v>43</v>
      </c>
      <c r="Z163" s="16"/>
    </row>
    <row r="164" spans="1:26" ht="14.25" customHeight="1" x14ac:dyDescent="0.35">
      <c r="A164" s="16" t="s">
        <v>277</v>
      </c>
      <c r="B164" s="16">
        <v>52</v>
      </c>
      <c r="C164" s="16" t="s">
        <v>63</v>
      </c>
      <c r="D164" s="16" t="s">
        <v>27</v>
      </c>
      <c r="E164" s="16" t="s">
        <v>78</v>
      </c>
      <c r="F164" s="16" t="s">
        <v>29</v>
      </c>
      <c r="G164" s="16" t="s">
        <v>30</v>
      </c>
      <c r="H164" s="16" t="s">
        <v>48</v>
      </c>
      <c r="I164" s="16" t="s">
        <v>32</v>
      </c>
      <c r="J164" s="16" t="s">
        <v>57</v>
      </c>
      <c r="K164" s="16" t="s">
        <v>34</v>
      </c>
      <c r="L164" s="16" t="s">
        <v>318</v>
      </c>
      <c r="M164" s="16">
        <v>4</v>
      </c>
      <c r="N164" s="16" t="s">
        <v>36</v>
      </c>
      <c r="O164" s="16" t="s">
        <v>37</v>
      </c>
      <c r="P164" s="16" t="s">
        <v>38</v>
      </c>
      <c r="Q164" s="16" t="s">
        <v>59</v>
      </c>
      <c r="R164" s="16" t="s">
        <v>40</v>
      </c>
      <c r="S164" s="16" t="s">
        <v>32</v>
      </c>
      <c r="T164" s="16">
        <v>4</v>
      </c>
      <c r="U164" s="16" t="s">
        <v>110</v>
      </c>
      <c r="V164" s="16" t="s">
        <v>98</v>
      </c>
      <c r="W164" s="16" t="s">
        <v>32</v>
      </c>
      <c r="X164" s="16" t="s">
        <v>98</v>
      </c>
      <c r="Y164" s="16" t="s">
        <v>135</v>
      </c>
      <c r="Z164" s="16"/>
    </row>
    <row r="165" spans="1:26" ht="14.25" customHeight="1" x14ac:dyDescent="0.35">
      <c r="A165" s="16" t="s">
        <v>278</v>
      </c>
      <c r="B165" s="16">
        <v>49</v>
      </c>
      <c r="C165" s="16" t="s">
        <v>316</v>
      </c>
      <c r="D165" s="16" t="s">
        <v>27</v>
      </c>
      <c r="E165" s="16" t="s">
        <v>78</v>
      </c>
      <c r="F165" s="16" t="s">
        <v>29</v>
      </c>
      <c r="G165" s="16" t="s">
        <v>47</v>
      </c>
      <c r="H165" s="16" t="s">
        <v>48</v>
      </c>
      <c r="I165" s="16" t="s">
        <v>74</v>
      </c>
      <c r="J165" s="16" t="s">
        <v>96</v>
      </c>
      <c r="K165" s="16" t="s">
        <v>80</v>
      </c>
      <c r="L165" s="16" t="s">
        <v>80</v>
      </c>
      <c r="M165" s="16">
        <v>0</v>
      </c>
      <c r="N165" s="16" t="s">
        <v>81</v>
      </c>
      <c r="O165" s="16" t="s">
        <v>81</v>
      </c>
      <c r="P165" s="16" t="s">
        <v>81</v>
      </c>
      <c r="Q165" s="16" t="s">
        <v>81</v>
      </c>
      <c r="R165" s="16" t="s">
        <v>81</v>
      </c>
      <c r="S165" s="16" t="s">
        <v>74</v>
      </c>
      <c r="T165" s="16" t="s">
        <v>82</v>
      </c>
      <c r="U165" s="16" t="s">
        <v>97</v>
      </c>
      <c r="V165" s="16" t="s">
        <v>42</v>
      </c>
      <c r="W165" s="16" t="s">
        <v>74</v>
      </c>
      <c r="X165" s="16" t="s">
        <v>42</v>
      </c>
      <c r="Y165" s="16" t="s">
        <v>99</v>
      </c>
      <c r="Z165" s="16"/>
    </row>
    <row r="166" spans="1:26" ht="14.25" customHeight="1" x14ac:dyDescent="0.35">
      <c r="A166" s="16" t="s">
        <v>279</v>
      </c>
      <c r="B166" s="16">
        <v>16</v>
      </c>
      <c r="C166" s="16" t="s">
        <v>315</v>
      </c>
      <c r="D166" s="16" t="s">
        <v>27</v>
      </c>
      <c r="E166" s="16" t="s">
        <v>55</v>
      </c>
      <c r="F166" s="16" t="s">
        <v>29</v>
      </c>
      <c r="G166" s="16" t="s">
        <v>87</v>
      </c>
      <c r="H166" s="16" t="s">
        <v>31</v>
      </c>
      <c r="I166" s="16" t="s">
        <v>74</v>
      </c>
      <c r="J166" s="16" t="s">
        <v>96</v>
      </c>
      <c r="K166" s="16" t="s">
        <v>80</v>
      </c>
      <c r="L166" s="16" t="s">
        <v>80</v>
      </c>
      <c r="M166" s="16">
        <v>0</v>
      </c>
      <c r="N166" s="16" t="s">
        <v>81</v>
      </c>
      <c r="O166" s="16" t="s">
        <v>81</v>
      </c>
      <c r="P166" s="16" t="s">
        <v>81</v>
      </c>
      <c r="Q166" s="16" t="s">
        <v>81</v>
      </c>
      <c r="R166" s="16" t="s">
        <v>81</v>
      </c>
      <c r="S166" s="16" t="s">
        <v>74</v>
      </c>
      <c r="T166" s="16" t="s">
        <v>82</v>
      </c>
      <c r="U166" s="16" t="s">
        <v>97</v>
      </c>
      <c r="V166" s="16" t="s">
        <v>84</v>
      </c>
      <c r="W166" s="16" t="s">
        <v>74</v>
      </c>
      <c r="X166" s="16" t="s">
        <v>84</v>
      </c>
      <c r="Y166" s="16" t="s">
        <v>99</v>
      </c>
      <c r="Z166" s="16"/>
    </row>
    <row r="167" spans="1:26" ht="14.25" customHeight="1" x14ac:dyDescent="0.35">
      <c r="A167" s="16" t="s">
        <v>280</v>
      </c>
      <c r="B167" s="16">
        <v>15</v>
      </c>
      <c r="C167" s="16" t="s">
        <v>315</v>
      </c>
      <c r="D167" s="16" t="s">
        <v>27</v>
      </c>
      <c r="E167" s="16" t="s">
        <v>55</v>
      </c>
      <c r="F167" s="16" t="s">
        <v>68</v>
      </c>
      <c r="G167" s="16" t="s">
        <v>30</v>
      </c>
      <c r="H167" s="16" t="s">
        <v>31</v>
      </c>
      <c r="I167" s="16" t="s">
        <v>32</v>
      </c>
      <c r="J167" s="16" t="s">
        <v>92</v>
      </c>
      <c r="K167" s="16" t="s">
        <v>34</v>
      </c>
      <c r="L167" s="16" t="s">
        <v>50</v>
      </c>
      <c r="M167" s="16">
        <v>2</v>
      </c>
      <c r="N167" s="16" t="s">
        <v>88</v>
      </c>
      <c r="O167" s="16" t="s">
        <v>104</v>
      </c>
      <c r="P167" s="16" t="s">
        <v>127</v>
      </c>
      <c r="Q167" s="16" t="s">
        <v>94</v>
      </c>
      <c r="R167" s="16" t="s">
        <v>116</v>
      </c>
      <c r="S167" s="16" t="s">
        <v>74</v>
      </c>
      <c r="T167" s="16">
        <v>2</v>
      </c>
      <c r="U167" s="16" t="s">
        <v>90</v>
      </c>
      <c r="V167" s="16" t="s">
        <v>114</v>
      </c>
      <c r="W167" s="16" t="s">
        <v>74</v>
      </c>
      <c r="X167" s="16" t="s">
        <v>114</v>
      </c>
      <c r="Y167" s="16" t="s">
        <v>76</v>
      </c>
      <c r="Z167" s="16"/>
    </row>
    <row r="168" spans="1:26" ht="14.25" customHeight="1" x14ac:dyDescent="0.35">
      <c r="A168" s="16" t="s">
        <v>281</v>
      </c>
      <c r="B168" s="16">
        <v>46</v>
      </c>
      <c r="C168" s="16" t="s">
        <v>316</v>
      </c>
      <c r="D168" s="16" t="s">
        <v>27</v>
      </c>
      <c r="E168" s="16" t="s">
        <v>118</v>
      </c>
      <c r="F168" s="16" t="s">
        <v>56</v>
      </c>
      <c r="G168" s="16" t="s">
        <v>47</v>
      </c>
      <c r="H168" s="16" t="s">
        <v>48</v>
      </c>
      <c r="I168" s="16" t="s">
        <v>74</v>
      </c>
      <c r="J168" s="16" t="s">
        <v>96</v>
      </c>
      <c r="K168" s="16" t="s">
        <v>80</v>
      </c>
      <c r="L168" s="16" t="s">
        <v>80</v>
      </c>
      <c r="M168" s="16">
        <v>0</v>
      </c>
      <c r="N168" s="16" t="s">
        <v>81</v>
      </c>
      <c r="O168" s="16" t="s">
        <v>81</v>
      </c>
      <c r="P168" s="16" t="s">
        <v>81</v>
      </c>
      <c r="Q168" s="16" t="s">
        <v>81</v>
      </c>
      <c r="R168" s="16" t="s">
        <v>81</v>
      </c>
      <c r="S168" s="16" t="s">
        <v>74</v>
      </c>
      <c r="T168" s="16" t="s">
        <v>82</v>
      </c>
      <c r="U168" s="16" t="s">
        <v>97</v>
      </c>
      <c r="V168" s="16" t="s">
        <v>98</v>
      </c>
      <c r="W168" s="16" t="s">
        <v>75</v>
      </c>
      <c r="X168" s="16" t="s">
        <v>98</v>
      </c>
      <c r="Y168" s="16" t="s">
        <v>99</v>
      </c>
      <c r="Z168" s="16"/>
    </row>
    <row r="169" spans="1:26" ht="14.25" customHeight="1" x14ac:dyDescent="0.35">
      <c r="A169" s="16" t="s">
        <v>282</v>
      </c>
      <c r="B169" s="16">
        <v>18</v>
      </c>
      <c r="C169" s="16" t="s">
        <v>315</v>
      </c>
      <c r="D169" s="16" t="s">
        <v>27</v>
      </c>
      <c r="E169" s="16" t="s">
        <v>55</v>
      </c>
      <c r="F169" s="16" t="s">
        <v>29</v>
      </c>
      <c r="G169" s="16" t="s">
        <v>87</v>
      </c>
      <c r="H169" s="16" t="s">
        <v>107</v>
      </c>
      <c r="I169" s="16" t="s">
        <v>74</v>
      </c>
      <c r="J169" s="16" t="s">
        <v>96</v>
      </c>
      <c r="K169" s="16" t="s">
        <v>80</v>
      </c>
      <c r="L169" s="16" t="s">
        <v>80</v>
      </c>
      <c r="M169" s="16">
        <v>0</v>
      </c>
      <c r="N169" s="16" t="s">
        <v>81</v>
      </c>
      <c r="O169" s="16" t="s">
        <v>81</v>
      </c>
      <c r="P169" s="16" t="s">
        <v>81</v>
      </c>
      <c r="Q169" s="16" t="s">
        <v>81</v>
      </c>
      <c r="R169" s="16" t="s">
        <v>81</v>
      </c>
      <c r="S169" s="16" t="s">
        <v>74</v>
      </c>
      <c r="T169" s="16" t="s">
        <v>82</v>
      </c>
      <c r="U169" s="16" t="s">
        <v>97</v>
      </c>
      <c r="V169" s="16" t="s">
        <v>84</v>
      </c>
      <c r="W169" s="16" t="s">
        <v>74</v>
      </c>
      <c r="X169" s="16" t="s">
        <v>84</v>
      </c>
      <c r="Y169" s="16" t="s">
        <v>99</v>
      </c>
      <c r="Z169" s="16"/>
    </row>
    <row r="170" spans="1:26" ht="14.25" customHeight="1" x14ac:dyDescent="0.35">
      <c r="A170" s="16" t="s">
        <v>283</v>
      </c>
      <c r="B170" s="16">
        <v>38</v>
      </c>
      <c r="C170" s="16" t="s">
        <v>317</v>
      </c>
      <c r="D170" s="16" t="s">
        <v>27</v>
      </c>
      <c r="E170" s="16" t="s">
        <v>78</v>
      </c>
      <c r="F170" s="16" t="s">
        <v>29</v>
      </c>
      <c r="G170" s="16" t="s">
        <v>87</v>
      </c>
      <c r="H170" s="16" t="s">
        <v>48</v>
      </c>
      <c r="I170" s="16" t="s">
        <v>32</v>
      </c>
      <c r="J170" s="16" t="s">
        <v>49</v>
      </c>
      <c r="K170" s="16" t="s">
        <v>34</v>
      </c>
      <c r="L170" s="16" t="s">
        <v>318</v>
      </c>
      <c r="M170" s="16">
        <v>3</v>
      </c>
      <c r="N170" s="16" t="s">
        <v>88</v>
      </c>
      <c r="O170" s="16" t="s">
        <v>104</v>
      </c>
      <c r="P170" s="16" t="s">
        <v>51</v>
      </c>
      <c r="Q170" s="16" t="s">
        <v>65</v>
      </c>
      <c r="R170" s="16" t="s">
        <v>116</v>
      </c>
      <c r="S170" s="16" t="s">
        <v>32</v>
      </c>
      <c r="T170" s="16">
        <v>1</v>
      </c>
      <c r="U170" s="16" t="s">
        <v>90</v>
      </c>
      <c r="V170" s="16" t="s">
        <v>42</v>
      </c>
      <c r="W170" s="16" t="s">
        <v>74</v>
      </c>
      <c r="X170" s="16" t="s">
        <v>42</v>
      </c>
      <c r="Y170" s="16" t="s">
        <v>108</v>
      </c>
      <c r="Z170" s="16"/>
    </row>
    <row r="171" spans="1:26" ht="14.25" customHeight="1" x14ac:dyDescent="0.35">
      <c r="A171" s="16" t="s">
        <v>284</v>
      </c>
      <c r="B171" s="16">
        <v>30</v>
      </c>
      <c r="C171" s="16" t="s">
        <v>317</v>
      </c>
      <c r="D171" s="16" t="s">
        <v>27</v>
      </c>
      <c r="E171" s="16" t="s">
        <v>28</v>
      </c>
      <c r="F171" s="16" t="s">
        <v>68</v>
      </c>
      <c r="G171" s="16" t="s">
        <v>30</v>
      </c>
      <c r="H171" s="16" t="s">
        <v>48</v>
      </c>
      <c r="I171" s="16" t="s">
        <v>32</v>
      </c>
      <c r="J171" s="16" t="s">
        <v>33</v>
      </c>
      <c r="K171" s="16" t="s">
        <v>34</v>
      </c>
      <c r="L171" s="16" t="s">
        <v>50</v>
      </c>
      <c r="M171" s="16">
        <v>3</v>
      </c>
      <c r="N171" s="16" t="s">
        <v>36</v>
      </c>
      <c r="O171" s="16" t="s">
        <v>37</v>
      </c>
      <c r="P171" s="16" t="s">
        <v>64</v>
      </c>
      <c r="Q171" s="16" t="s">
        <v>52</v>
      </c>
      <c r="R171" s="16" t="s">
        <v>116</v>
      </c>
      <c r="S171" s="16" t="s">
        <v>32</v>
      </c>
      <c r="T171" s="16">
        <v>4</v>
      </c>
      <c r="U171" s="16" t="s">
        <v>60</v>
      </c>
      <c r="V171" s="16" t="s">
        <v>84</v>
      </c>
      <c r="W171" s="16" t="s">
        <v>32</v>
      </c>
      <c r="X171" s="16" t="s">
        <v>84</v>
      </c>
      <c r="Y171" s="16" t="s">
        <v>61</v>
      </c>
      <c r="Z171" s="16"/>
    </row>
    <row r="172" spans="1:26" ht="14.25" customHeight="1" x14ac:dyDescent="0.35">
      <c r="A172" s="16" t="s">
        <v>285</v>
      </c>
      <c r="B172" s="16">
        <v>58</v>
      </c>
      <c r="C172" s="16" t="s">
        <v>63</v>
      </c>
      <c r="D172" s="16" t="s">
        <v>27</v>
      </c>
      <c r="E172" s="16" t="s">
        <v>78</v>
      </c>
      <c r="F172" s="16" t="s">
        <v>29</v>
      </c>
      <c r="G172" s="16" t="s">
        <v>30</v>
      </c>
      <c r="H172" s="16" t="s">
        <v>48</v>
      </c>
      <c r="I172" s="16" t="s">
        <v>74</v>
      </c>
      <c r="J172" s="16" t="s">
        <v>96</v>
      </c>
      <c r="K172" s="16" t="s">
        <v>80</v>
      </c>
      <c r="L172" s="16" t="s">
        <v>80</v>
      </c>
      <c r="M172" s="16">
        <v>0</v>
      </c>
      <c r="N172" s="16" t="s">
        <v>81</v>
      </c>
      <c r="O172" s="16" t="s">
        <v>81</v>
      </c>
      <c r="P172" s="16" t="s">
        <v>81</v>
      </c>
      <c r="Q172" s="16" t="s">
        <v>81</v>
      </c>
      <c r="R172" s="16" t="s">
        <v>81</v>
      </c>
      <c r="S172" s="16" t="s">
        <v>74</v>
      </c>
      <c r="T172" s="16" t="s">
        <v>82</v>
      </c>
      <c r="U172" s="16" t="s">
        <v>97</v>
      </c>
      <c r="V172" s="16" t="s">
        <v>42</v>
      </c>
      <c r="W172" s="16" t="s">
        <v>74</v>
      </c>
      <c r="X172" s="16" t="s">
        <v>42</v>
      </c>
      <c r="Y172" s="16" t="s">
        <v>99</v>
      </c>
      <c r="Z172" s="16"/>
    </row>
    <row r="173" spans="1:26" ht="14.25" customHeight="1" x14ac:dyDescent="0.35">
      <c r="A173" s="16" t="s">
        <v>286</v>
      </c>
      <c r="B173" s="16">
        <v>28</v>
      </c>
      <c r="C173" s="16" t="s">
        <v>319</v>
      </c>
      <c r="D173" s="16" t="s">
        <v>27</v>
      </c>
      <c r="E173" s="16" t="s">
        <v>28</v>
      </c>
      <c r="F173" s="16" t="s">
        <v>68</v>
      </c>
      <c r="G173" s="16" t="s">
        <v>30</v>
      </c>
      <c r="H173" s="16" t="s">
        <v>107</v>
      </c>
      <c r="I173" s="16" t="s">
        <v>32</v>
      </c>
      <c r="J173" s="16" t="s">
        <v>69</v>
      </c>
      <c r="K173" s="16" t="s">
        <v>34</v>
      </c>
      <c r="L173" s="16" t="s">
        <v>50</v>
      </c>
      <c r="M173" s="16">
        <v>3</v>
      </c>
      <c r="N173" s="16" t="s">
        <v>88</v>
      </c>
      <c r="O173" s="16" t="s">
        <v>104</v>
      </c>
      <c r="P173" s="16" t="s">
        <v>64</v>
      </c>
      <c r="Q173" s="16" t="s">
        <v>65</v>
      </c>
      <c r="R173" s="16" t="s">
        <v>101</v>
      </c>
      <c r="S173" s="16" t="s">
        <v>74</v>
      </c>
      <c r="T173" s="16">
        <v>2</v>
      </c>
      <c r="U173" s="16" t="s">
        <v>60</v>
      </c>
      <c r="V173" s="16" t="s">
        <v>84</v>
      </c>
      <c r="W173" s="16" t="s">
        <v>75</v>
      </c>
      <c r="X173" s="16" t="s">
        <v>84</v>
      </c>
      <c r="Y173" s="16" t="s">
        <v>76</v>
      </c>
      <c r="Z173" s="16"/>
    </row>
    <row r="174" spans="1:26" ht="14.25" customHeight="1" x14ac:dyDescent="0.35">
      <c r="A174" s="16" t="s">
        <v>287</v>
      </c>
      <c r="B174" s="16">
        <v>16</v>
      </c>
      <c r="C174" s="16" t="s">
        <v>315</v>
      </c>
      <c r="D174" s="16" t="s">
        <v>27</v>
      </c>
      <c r="E174" s="16" t="s">
        <v>55</v>
      </c>
      <c r="F174" s="16" t="s">
        <v>68</v>
      </c>
      <c r="G174" s="16" t="s">
        <v>30</v>
      </c>
      <c r="H174" s="16" t="s">
        <v>31</v>
      </c>
      <c r="I174" s="16" t="s">
        <v>74</v>
      </c>
      <c r="J174" s="16" t="s">
        <v>96</v>
      </c>
      <c r="K174" s="16" t="s">
        <v>80</v>
      </c>
      <c r="L174" s="16" t="s">
        <v>80</v>
      </c>
      <c r="M174" s="16">
        <v>0</v>
      </c>
      <c r="N174" s="16" t="s">
        <v>81</v>
      </c>
      <c r="O174" s="16" t="s">
        <v>81</v>
      </c>
      <c r="P174" s="16" t="s">
        <v>81</v>
      </c>
      <c r="Q174" s="16" t="s">
        <v>81</v>
      </c>
      <c r="R174" s="16" t="s">
        <v>81</v>
      </c>
      <c r="S174" s="16" t="s">
        <v>74</v>
      </c>
      <c r="T174" s="16" t="s">
        <v>82</v>
      </c>
      <c r="U174" s="16" t="s">
        <v>97</v>
      </c>
      <c r="V174" s="16" t="s">
        <v>84</v>
      </c>
      <c r="W174" s="16" t="s">
        <v>75</v>
      </c>
      <c r="X174" s="16" t="s">
        <v>84</v>
      </c>
      <c r="Y174" s="16" t="s">
        <v>99</v>
      </c>
      <c r="Z174" s="16"/>
    </row>
    <row r="175" spans="1:26" ht="14.25" customHeight="1" x14ac:dyDescent="0.35">
      <c r="A175" s="16" t="s">
        <v>288</v>
      </c>
      <c r="B175" s="16">
        <v>13</v>
      </c>
      <c r="C175" s="16" t="s">
        <v>315</v>
      </c>
      <c r="D175" s="16" t="s">
        <v>27</v>
      </c>
      <c r="E175" s="16" t="s">
        <v>55</v>
      </c>
      <c r="F175" s="16" t="s">
        <v>68</v>
      </c>
      <c r="G175" s="16" t="s">
        <v>87</v>
      </c>
      <c r="H175" s="16" t="s">
        <v>31</v>
      </c>
      <c r="I175" s="16" t="s">
        <v>74</v>
      </c>
      <c r="J175" s="16" t="s">
        <v>96</v>
      </c>
      <c r="K175" s="16" t="s">
        <v>80</v>
      </c>
      <c r="L175" s="16" t="s">
        <v>80</v>
      </c>
      <c r="M175" s="16">
        <v>0</v>
      </c>
      <c r="N175" s="16" t="s">
        <v>81</v>
      </c>
      <c r="O175" s="16" t="s">
        <v>81</v>
      </c>
      <c r="P175" s="16" t="s">
        <v>81</v>
      </c>
      <c r="Q175" s="16" t="s">
        <v>81</v>
      </c>
      <c r="R175" s="16" t="s">
        <v>81</v>
      </c>
      <c r="S175" s="16" t="s">
        <v>74</v>
      </c>
      <c r="T175" s="16" t="s">
        <v>82</v>
      </c>
      <c r="U175" s="16" t="s">
        <v>97</v>
      </c>
      <c r="V175" s="16" t="s">
        <v>42</v>
      </c>
      <c r="W175" s="16" t="s">
        <v>75</v>
      </c>
      <c r="X175" s="16" t="s">
        <v>42</v>
      </c>
      <c r="Y175" s="16" t="s">
        <v>99</v>
      </c>
      <c r="Z175" s="16"/>
    </row>
    <row r="176" spans="1:26" ht="14.25" customHeight="1" x14ac:dyDescent="0.35">
      <c r="A176" s="16" t="s">
        <v>289</v>
      </c>
      <c r="B176" s="16">
        <v>19</v>
      </c>
      <c r="C176" s="16" t="s">
        <v>315</v>
      </c>
      <c r="D176" s="16" t="s">
        <v>27</v>
      </c>
      <c r="E176" s="16" t="s">
        <v>28</v>
      </c>
      <c r="F176" s="16" t="s">
        <v>68</v>
      </c>
      <c r="G176" s="16" t="s">
        <v>30</v>
      </c>
      <c r="H176" s="16" t="s">
        <v>107</v>
      </c>
      <c r="I176" s="16" t="s">
        <v>32</v>
      </c>
      <c r="J176" s="16" t="s">
        <v>57</v>
      </c>
      <c r="K176" s="16" t="s">
        <v>34</v>
      </c>
      <c r="L176" s="16" t="s">
        <v>50</v>
      </c>
      <c r="M176" s="16">
        <v>4</v>
      </c>
      <c r="N176" s="16" t="s">
        <v>88</v>
      </c>
      <c r="O176" s="16" t="s">
        <v>89</v>
      </c>
      <c r="P176" s="16" t="s">
        <v>64</v>
      </c>
      <c r="Q176" s="16" t="s">
        <v>52</v>
      </c>
      <c r="R176" s="16" t="s">
        <v>53</v>
      </c>
      <c r="S176" s="16" t="s">
        <v>32</v>
      </c>
      <c r="T176" s="16">
        <v>2</v>
      </c>
      <c r="U176" s="16" t="s">
        <v>41</v>
      </c>
      <c r="V176" s="16" t="s">
        <v>42</v>
      </c>
      <c r="W176" s="16" t="s">
        <v>32</v>
      </c>
      <c r="X176" s="16" t="s">
        <v>42</v>
      </c>
      <c r="Y176" s="16" t="s">
        <v>43</v>
      </c>
      <c r="Z176" s="16"/>
    </row>
    <row r="177" spans="1:26" ht="14.25" customHeight="1" x14ac:dyDescent="0.35">
      <c r="A177" s="16" t="s">
        <v>290</v>
      </c>
      <c r="B177" s="16">
        <v>22</v>
      </c>
      <c r="C177" s="16" t="s">
        <v>319</v>
      </c>
      <c r="D177" s="16" t="s">
        <v>27</v>
      </c>
      <c r="E177" s="16" t="s">
        <v>28</v>
      </c>
      <c r="F177" s="16" t="s">
        <v>29</v>
      </c>
      <c r="G177" s="16" t="s">
        <v>30</v>
      </c>
      <c r="H177" s="16" t="s">
        <v>107</v>
      </c>
      <c r="I177" s="16" t="s">
        <v>32</v>
      </c>
      <c r="J177" s="16" t="s">
        <v>92</v>
      </c>
      <c r="K177" s="16" t="s">
        <v>34</v>
      </c>
      <c r="L177" s="16" t="s">
        <v>318</v>
      </c>
      <c r="M177" s="16">
        <v>3</v>
      </c>
      <c r="N177" s="16" t="s">
        <v>88</v>
      </c>
      <c r="O177" s="16" t="s">
        <v>89</v>
      </c>
      <c r="P177" s="16" t="s">
        <v>51</v>
      </c>
      <c r="Q177" s="16" t="s">
        <v>94</v>
      </c>
      <c r="R177" s="16" t="s">
        <v>116</v>
      </c>
      <c r="S177" s="16" t="s">
        <v>74</v>
      </c>
      <c r="T177" s="16">
        <v>1</v>
      </c>
      <c r="U177" s="16" t="s">
        <v>41</v>
      </c>
      <c r="V177" s="16" t="s">
        <v>84</v>
      </c>
      <c r="W177" s="16" t="s">
        <v>74</v>
      </c>
      <c r="X177" s="16" t="s">
        <v>84</v>
      </c>
      <c r="Y177" s="16" t="s">
        <v>76</v>
      </c>
      <c r="Z177" s="16"/>
    </row>
    <row r="178" spans="1:26" ht="14.25" customHeight="1" x14ac:dyDescent="0.35">
      <c r="A178" s="16" t="s">
        <v>291</v>
      </c>
      <c r="B178" s="16">
        <v>39</v>
      </c>
      <c r="C178" s="16" t="s">
        <v>317</v>
      </c>
      <c r="D178" s="16" t="s">
        <v>27</v>
      </c>
      <c r="E178" s="16" t="s">
        <v>28</v>
      </c>
      <c r="F178" s="16" t="s">
        <v>29</v>
      </c>
      <c r="G178" s="16" t="s">
        <v>87</v>
      </c>
      <c r="H178" s="16" t="s">
        <v>48</v>
      </c>
      <c r="I178" s="16" t="s">
        <v>32</v>
      </c>
      <c r="J178" s="16" t="s">
        <v>33</v>
      </c>
      <c r="K178" s="16" t="s">
        <v>34</v>
      </c>
      <c r="L178" s="16" t="s">
        <v>318</v>
      </c>
      <c r="M178" s="16">
        <v>4</v>
      </c>
      <c r="N178" s="16" t="s">
        <v>88</v>
      </c>
      <c r="O178" s="16" t="s">
        <v>89</v>
      </c>
      <c r="P178" s="16" t="s">
        <v>64</v>
      </c>
      <c r="Q178" s="16" t="s">
        <v>52</v>
      </c>
      <c r="R178" s="16" t="s">
        <v>53</v>
      </c>
      <c r="S178" s="16" t="s">
        <v>32</v>
      </c>
      <c r="T178" s="16">
        <v>2</v>
      </c>
      <c r="U178" s="16" t="s">
        <v>121</v>
      </c>
      <c r="V178" s="16" t="s">
        <v>42</v>
      </c>
      <c r="W178" s="16" t="s">
        <v>32</v>
      </c>
      <c r="X178" s="16" t="s">
        <v>42</v>
      </c>
      <c r="Y178" s="16" t="s">
        <v>122</v>
      </c>
      <c r="Z178" s="16"/>
    </row>
    <row r="179" spans="1:26" ht="14.25" customHeight="1" x14ac:dyDescent="0.35">
      <c r="A179" s="16" t="s">
        <v>292</v>
      </c>
      <c r="B179" s="16">
        <v>18</v>
      </c>
      <c r="C179" s="16" t="s">
        <v>315</v>
      </c>
      <c r="D179" s="16" t="s">
        <v>27</v>
      </c>
      <c r="E179" s="16" t="s">
        <v>28</v>
      </c>
      <c r="F179" s="16" t="s">
        <v>29</v>
      </c>
      <c r="G179" s="16" t="s">
        <v>87</v>
      </c>
      <c r="H179" s="16" t="s">
        <v>107</v>
      </c>
      <c r="I179" s="16" t="s">
        <v>32</v>
      </c>
      <c r="J179" s="16" t="s">
        <v>57</v>
      </c>
      <c r="K179" s="16" t="s">
        <v>34</v>
      </c>
      <c r="L179" s="16" t="s">
        <v>35</v>
      </c>
      <c r="M179" s="16">
        <v>3</v>
      </c>
      <c r="N179" s="16" t="s">
        <v>88</v>
      </c>
      <c r="O179" s="16" t="s">
        <v>89</v>
      </c>
      <c r="P179" s="16" t="s">
        <v>64</v>
      </c>
      <c r="Q179" s="16" t="s">
        <v>59</v>
      </c>
      <c r="R179" s="16" t="s">
        <v>40</v>
      </c>
      <c r="S179" s="16" t="s">
        <v>32</v>
      </c>
      <c r="T179" s="16">
        <v>4</v>
      </c>
      <c r="U179" s="16" t="s">
        <v>121</v>
      </c>
      <c r="V179" s="16" t="s">
        <v>114</v>
      </c>
      <c r="W179" s="16" t="s">
        <v>32</v>
      </c>
      <c r="X179" s="16" t="s">
        <v>114</v>
      </c>
      <c r="Y179" s="16" t="s">
        <v>122</v>
      </c>
      <c r="Z179" s="16"/>
    </row>
    <row r="180" spans="1:26" ht="14.25" customHeight="1" x14ac:dyDescent="0.35">
      <c r="A180" s="16" t="s">
        <v>293</v>
      </c>
      <c r="B180" s="16">
        <v>42</v>
      </c>
      <c r="C180" s="16" t="s">
        <v>316</v>
      </c>
      <c r="D180" s="16" t="s">
        <v>27</v>
      </c>
      <c r="E180" s="16" t="s">
        <v>28</v>
      </c>
      <c r="F180" s="16" t="s">
        <v>68</v>
      </c>
      <c r="G180" s="16" t="s">
        <v>72</v>
      </c>
      <c r="H180" s="16" t="s">
        <v>48</v>
      </c>
      <c r="I180" s="16" t="s">
        <v>32</v>
      </c>
      <c r="J180" s="16" t="s">
        <v>57</v>
      </c>
      <c r="K180" s="16" t="s">
        <v>34</v>
      </c>
      <c r="L180" s="16" t="s">
        <v>50</v>
      </c>
      <c r="M180" s="16">
        <v>4</v>
      </c>
      <c r="N180" s="16" t="s">
        <v>36</v>
      </c>
      <c r="O180" s="16" t="s">
        <v>37</v>
      </c>
      <c r="P180" s="16" t="s">
        <v>58</v>
      </c>
      <c r="Q180" s="16" t="s">
        <v>59</v>
      </c>
      <c r="R180" s="16" t="s">
        <v>40</v>
      </c>
      <c r="S180" s="16" t="s">
        <v>74</v>
      </c>
      <c r="T180" s="16">
        <v>4</v>
      </c>
      <c r="U180" s="16" t="s">
        <v>168</v>
      </c>
      <c r="V180" s="16" t="s">
        <v>84</v>
      </c>
      <c r="W180" s="16" t="s">
        <v>32</v>
      </c>
      <c r="X180" s="16" t="s">
        <v>84</v>
      </c>
      <c r="Y180" s="16" t="s">
        <v>76</v>
      </c>
      <c r="Z180" s="16"/>
    </row>
    <row r="181" spans="1:26" ht="14.25" customHeight="1" x14ac:dyDescent="0.35">
      <c r="A181" s="16" t="s">
        <v>294</v>
      </c>
      <c r="B181" s="16">
        <v>40</v>
      </c>
      <c r="C181" s="16" t="s">
        <v>316</v>
      </c>
      <c r="D181" s="16" t="s">
        <v>27</v>
      </c>
      <c r="E181" s="16" t="s">
        <v>28</v>
      </c>
      <c r="F181" s="16" t="s">
        <v>68</v>
      </c>
      <c r="G181" s="16" t="s">
        <v>47</v>
      </c>
      <c r="H181" s="16" t="s">
        <v>48</v>
      </c>
      <c r="I181" s="16" t="s">
        <v>32</v>
      </c>
      <c r="J181" s="16" t="s">
        <v>79</v>
      </c>
      <c r="K181" s="16" t="s">
        <v>34</v>
      </c>
      <c r="L181" s="16" t="s">
        <v>35</v>
      </c>
      <c r="M181" s="16">
        <v>1</v>
      </c>
      <c r="N181" s="16" t="s">
        <v>88</v>
      </c>
      <c r="O181" s="16" t="s">
        <v>104</v>
      </c>
      <c r="P181" s="16" t="s">
        <v>127</v>
      </c>
      <c r="Q181" s="16" t="s">
        <v>94</v>
      </c>
      <c r="R181" s="16" t="s">
        <v>101</v>
      </c>
      <c r="S181" s="16" t="s">
        <v>32</v>
      </c>
      <c r="T181" s="16">
        <v>2</v>
      </c>
      <c r="U181" s="16" t="s">
        <v>41</v>
      </c>
      <c r="V181" s="16" t="s">
        <v>42</v>
      </c>
      <c r="W181" s="16" t="s">
        <v>74</v>
      </c>
      <c r="X181" s="16" t="s">
        <v>42</v>
      </c>
      <c r="Y181" s="16" t="s">
        <v>43</v>
      </c>
      <c r="Z181" s="16"/>
    </row>
    <row r="182" spans="1:26" ht="14.25" customHeight="1" x14ac:dyDescent="0.35">
      <c r="A182" s="16" t="s">
        <v>295</v>
      </c>
      <c r="B182" s="16">
        <v>16</v>
      </c>
      <c r="C182" s="16" t="s">
        <v>315</v>
      </c>
      <c r="D182" s="16" t="s">
        <v>27</v>
      </c>
      <c r="E182" s="16" t="s">
        <v>55</v>
      </c>
      <c r="F182" s="16" t="s">
        <v>29</v>
      </c>
      <c r="G182" s="16" t="s">
        <v>87</v>
      </c>
      <c r="H182" s="16" t="s">
        <v>31</v>
      </c>
      <c r="I182" s="16" t="s">
        <v>32</v>
      </c>
      <c r="J182" s="16" t="s">
        <v>57</v>
      </c>
      <c r="K182" s="16" t="s">
        <v>34</v>
      </c>
      <c r="L182" s="16" t="s">
        <v>50</v>
      </c>
      <c r="M182" s="16">
        <v>3</v>
      </c>
      <c r="N182" s="16" t="s">
        <v>88</v>
      </c>
      <c r="O182" s="16" t="s">
        <v>104</v>
      </c>
      <c r="P182" s="16" t="s">
        <v>51</v>
      </c>
      <c r="Q182" s="16" t="s">
        <v>65</v>
      </c>
      <c r="R182" s="16" t="s">
        <v>101</v>
      </c>
      <c r="S182" s="16" t="s">
        <v>74</v>
      </c>
      <c r="T182" s="16">
        <v>2</v>
      </c>
      <c r="U182" s="16" t="s">
        <v>121</v>
      </c>
      <c r="V182" s="16" t="s">
        <v>114</v>
      </c>
      <c r="W182" s="16" t="s">
        <v>75</v>
      </c>
      <c r="X182" s="16" t="s">
        <v>114</v>
      </c>
      <c r="Y182" s="16" t="s">
        <v>76</v>
      </c>
      <c r="Z182" s="16"/>
    </row>
    <row r="183" spans="1:26" ht="14.25" customHeight="1" x14ac:dyDescent="0.35">
      <c r="A183" s="16" t="s">
        <v>296</v>
      </c>
      <c r="B183" s="16">
        <v>14</v>
      </c>
      <c r="C183" s="16" t="s">
        <v>315</v>
      </c>
      <c r="D183" s="16" t="s">
        <v>27</v>
      </c>
      <c r="E183" s="16" t="s">
        <v>55</v>
      </c>
      <c r="F183" s="16" t="s">
        <v>181</v>
      </c>
      <c r="G183" s="16" t="s">
        <v>30</v>
      </c>
      <c r="H183" s="16" t="s">
        <v>31</v>
      </c>
      <c r="I183" s="16" t="s">
        <v>32</v>
      </c>
      <c r="J183" s="16" t="s">
        <v>92</v>
      </c>
      <c r="K183" s="16" t="s">
        <v>34</v>
      </c>
      <c r="L183" s="16" t="s">
        <v>50</v>
      </c>
      <c r="M183" s="16">
        <v>3</v>
      </c>
      <c r="N183" s="16" t="s">
        <v>88</v>
      </c>
      <c r="O183" s="16" t="s">
        <v>89</v>
      </c>
      <c r="P183" s="16" t="s">
        <v>51</v>
      </c>
      <c r="Q183" s="16" t="s">
        <v>52</v>
      </c>
      <c r="R183" s="16" t="s">
        <v>101</v>
      </c>
      <c r="S183" s="16" t="s">
        <v>74</v>
      </c>
      <c r="T183" s="16">
        <v>3</v>
      </c>
      <c r="U183" s="16" t="s">
        <v>41</v>
      </c>
      <c r="V183" s="16" t="s">
        <v>42</v>
      </c>
      <c r="W183" s="16" t="s">
        <v>74</v>
      </c>
      <c r="X183" s="16" t="s">
        <v>42</v>
      </c>
      <c r="Y183" s="16" t="s">
        <v>76</v>
      </c>
      <c r="Z183" s="16"/>
    </row>
    <row r="184" spans="1:26" ht="14.25" customHeight="1" x14ac:dyDescent="0.35">
      <c r="A184" s="16" t="s">
        <v>297</v>
      </c>
      <c r="B184" s="16">
        <v>44</v>
      </c>
      <c r="C184" s="16" t="s">
        <v>316</v>
      </c>
      <c r="D184" s="16" t="s">
        <v>27</v>
      </c>
      <c r="E184" s="16" t="s">
        <v>28</v>
      </c>
      <c r="F184" s="16" t="s">
        <v>29</v>
      </c>
      <c r="G184" s="16" t="s">
        <v>87</v>
      </c>
      <c r="H184" s="16" t="s">
        <v>48</v>
      </c>
      <c r="I184" s="16" t="s">
        <v>32</v>
      </c>
      <c r="J184" s="16" t="s">
        <v>92</v>
      </c>
      <c r="K184" s="16" t="s">
        <v>34</v>
      </c>
      <c r="L184" s="16" t="s">
        <v>35</v>
      </c>
      <c r="M184" s="16">
        <v>4</v>
      </c>
      <c r="N184" s="16" t="s">
        <v>93</v>
      </c>
      <c r="O184" s="16" t="s">
        <v>142</v>
      </c>
      <c r="P184" s="16" t="s">
        <v>51</v>
      </c>
      <c r="Q184" s="16" t="s">
        <v>94</v>
      </c>
      <c r="R184" s="16" t="s">
        <v>53</v>
      </c>
      <c r="S184" s="16" t="s">
        <v>32</v>
      </c>
      <c r="T184" s="16">
        <v>2</v>
      </c>
      <c r="U184" s="16" t="s">
        <v>90</v>
      </c>
      <c r="V184" s="16" t="s">
        <v>84</v>
      </c>
      <c r="W184" s="16" t="s">
        <v>74</v>
      </c>
      <c r="X184" s="16" t="s">
        <v>84</v>
      </c>
      <c r="Y184" s="16" t="s">
        <v>108</v>
      </c>
      <c r="Z184" s="16"/>
    </row>
    <row r="185" spans="1:26" ht="14.25" customHeight="1" x14ac:dyDescent="0.35">
      <c r="A185" s="16" t="s">
        <v>298</v>
      </c>
      <c r="B185" s="16">
        <v>44</v>
      </c>
      <c r="C185" s="16" t="s">
        <v>316</v>
      </c>
      <c r="D185" s="16" t="s">
        <v>27</v>
      </c>
      <c r="E185" s="16" t="s">
        <v>33</v>
      </c>
      <c r="F185" s="16" t="s">
        <v>29</v>
      </c>
      <c r="G185" s="16" t="s">
        <v>30</v>
      </c>
      <c r="H185" s="16" t="s">
        <v>119</v>
      </c>
      <c r="I185" s="16" t="s">
        <v>32</v>
      </c>
      <c r="J185" s="16" t="s">
        <v>49</v>
      </c>
      <c r="K185" s="16" t="s">
        <v>34</v>
      </c>
      <c r="L185" s="16" t="s">
        <v>50</v>
      </c>
      <c r="M185" s="16">
        <v>4</v>
      </c>
      <c r="N185" s="16" t="s">
        <v>88</v>
      </c>
      <c r="O185" s="16" t="s">
        <v>89</v>
      </c>
      <c r="P185" s="16" t="s">
        <v>51</v>
      </c>
      <c r="Q185" s="16" t="s">
        <v>94</v>
      </c>
      <c r="R185" s="16" t="s">
        <v>116</v>
      </c>
      <c r="S185" s="16" t="s">
        <v>32</v>
      </c>
      <c r="T185" s="16">
        <v>1</v>
      </c>
      <c r="U185" s="16" t="s">
        <v>41</v>
      </c>
      <c r="V185" s="16" t="s">
        <v>42</v>
      </c>
      <c r="W185" s="16" t="s">
        <v>75</v>
      </c>
      <c r="X185" s="16" t="s">
        <v>42</v>
      </c>
      <c r="Y185" s="16" t="s">
        <v>43</v>
      </c>
      <c r="Z185" s="16"/>
    </row>
    <row r="186" spans="1:26" ht="14.25" customHeight="1" x14ac:dyDescent="0.35">
      <c r="A186" s="16" t="s">
        <v>299</v>
      </c>
      <c r="B186" s="16">
        <v>52</v>
      </c>
      <c r="C186" s="16" t="s">
        <v>63</v>
      </c>
      <c r="D186" s="16" t="s">
        <v>27</v>
      </c>
      <c r="E186" s="16" t="s">
        <v>78</v>
      </c>
      <c r="F186" s="16" t="s">
        <v>46</v>
      </c>
      <c r="G186" s="16" t="s">
        <v>30</v>
      </c>
      <c r="H186" s="16" t="s">
        <v>48</v>
      </c>
      <c r="I186" s="16" t="s">
        <v>32</v>
      </c>
      <c r="J186" s="16" t="s">
        <v>57</v>
      </c>
      <c r="K186" s="16" t="s">
        <v>34</v>
      </c>
      <c r="L186" s="16" t="s">
        <v>50</v>
      </c>
      <c r="M186" s="16">
        <v>3</v>
      </c>
      <c r="N186" s="16" t="s">
        <v>36</v>
      </c>
      <c r="O186" s="16" t="s">
        <v>37</v>
      </c>
      <c r="P186" s="16" t="s">
        <v>64</v>
      </c>
      <c r="Q186" s="16" t="s">
        <v>65</v>
      </c>
      <c r="R186" s="16" t="s">
        <v>101</v>
      </c>
      <c r="S186" s="16" t="s">
        <v>32</v>
      </c>
      <c r="T186" s="16">
        <v>1</v>
      </c>
      <c r="U186" s="16" t="s">
        <v>60</v>
      </c>
      <c r="V186" s="16" t="s">
        <v>42</v>
      </c>
      <c r="W186" s="16" t="s">
        <v>32</v>
      </c>
      <c r="X186" s="16" t="s">
        <v>42</v>
      </c>
      <c r="Y186" s="16" t="s">
        <v>61</v>
      </c>
      <c r="Z186" s="16"/>
    </row>
    <row r="187" spans="1:26" ht="14.25" customHeight="1" x14ac:dyDescent="0.35">
      <c r="A187" s="16" t="s">
        <v>300</v>
      </c>
      <c r="B187" s="16">
        <v>15</v>
      </c>
      <c r="C187" s="16" t="s">
        <v>315</v>
      </c>
      <c r="D187" s="16" t="s">
        <v>27</v>
      </c>
      <c r="E187" s="16" t="s">
        <v>28</v>
      </c>
      <c r="F187" s="16" t="s">
        <v>181</v>
      </c>
      <c r="G187" s="16" t="s">
        <v>30</v>
      </c>
      <c r="H187" s="16" t="s">
        <v>31</v>
      </c>
      <c r="I187" s="16" t="s">
        <v>32</v>
      </c>
      <c r="J187" s="16" t="s">
        <v>57</v>
      </c>
      <c r="K187" s="16" t="s">
        <v>34</v>
      </c>
      <c r="L187" s="16" t="s">
        <v>35</v>
      </c>
      <c r="M187" s="16">
        <v>5</v>
      </c>
      <c r="N187" s="16" t="s">
        <v>36</v>
      </c>
      <c r="O187" s="16" t="s">
        <v>37</v>
      </c>
      <c r="P187" s="16" t="s">
        <v>64</v>
      </c>
      <c r="Q187" s="16" t="s">
        <v>52</v>
      </c>
      <c r="R187" s="16" t="s">
        <v>53</v>
      </c>
      <c r="S187" s="16" t="s">
        <v>74</v>
      </c>
      <c r="T187" s="16">
        <v>3</v>
      </c>
      <c r="U187" s="16" t="s">
        <v>121</v>
      </c>
      <c r="V187" s="16" t="s">
        <v>42</v>
      </c>
      <c r="W187" s="16" t="s">
        <v>32</v>
      </c>
      <c r="X187" s="16" t="s">
        <v>42</v>
      </c>
      <c r="Y187" s="16" t="s">
        <v>76</v>
      </c>
      <c r="Z187" s="16"/>
    </row>
    <row r="188" spans="1:26" ht="14.25" customHeight="1" x14ac:dyDescent="0.35">
      <c r="A188" s="16" t="s">
        <v>301</v>
      </c>
      <c r="B188" s="16">
        <v>19</v>
      </c>
      <c r="C188" s="16" t="s">
        <v>315</v>
      </c>
      <c r="D188" s="16" t="s">
        <v>27</v>
      </c>
      <c r="E188" s="16" t="s">
        <v>55</v>
      </c>
      <c r="F188" s="16" t="s">
        <v>56</v>
      </c>
      <c r="G188" s="16" t="s">
        <v>30</v>
      </c>
      <c r="H188" s="16" t="s">
        <v>107</v>
      </c>
      <c r="I188" s="16" t="s">
        <v>32</v>
      </c>
      <c r="J188" s="16" t="s">
        <v>92</v>
      </c>
      <c r="K188" s="16" t="s">
        <v>34</v>
      </c>
      <c r="L188" s="16" t="s">
        <v>50</v>
      </c>
      <c r="M188" s="16">
        <v>3</v>
      </c>
      <c r="N188" s="16" t="s">
        <v>88</v>
      </c>
      <c r="O188" s="16" t="s">
        <v>104</v>
      </c>
      <c r="P188" s="16" t="s">
        <v>64</v>
      </c>
      <c r="Q188" s="16" t="s">
        <v>52</v>
      </c>
      <c r="R188" s="16" t="s">
        <v>116</v>
      </c>
      <c r="S188" s="16" t="s">
        <v>32</v>
      </c>
      <c r="T188" s="16">
        <v>3</v>
      </c>
      <c r="U188" s="16" t="s">
        <v>90</v>
      </c>
      <c r="V188" s="16" t="s">
        <v>98</v>
      </c>
      <c r="W188" s="16" t="s">
        <v>74</v>
      </c>
      <c r="X188" s="16" t="s">
        <v>98</v>
      </c>
      <c r="Y188" s="16" t="s">
        <v>108</v>
      </c>
      <c r="Z188" s="16"/>
    </row>
    <row r="189" spans="1:26" ht="14.25" customHeight="1" x14ac:dyDescent="0.35">
      <c r="A189" s="16" t="s">
        <v>302</v>
      </c>
      <c r="B189" s="16">
        <v>13</v>
      </c>
      <c r="C189" s="16" t="s">
        <v>315</v>
      </c>
      <c r="D189" s="16" t="s">
        <v>27</v>
      </c>
      <c r="E189" s="16" t="s">
        <v>55</v>
      </c>
      <c r="F189" s="16" t="s">
        <v>68</v>
      </c>
      <c r="G189" s="16" t="s">
        <v>87</v>
      </c>
      <c r="H189" s="16" t="s">
        <v>31</v>
      </c>
      <c r="I189" s="16" t="s">
        <v>32</v>
      </c>
      <c r="J189" s="16" t="s">
        <v>92</v>
      </c>
      <c r="K189" s="16" t="s">
        <v>34</v>
      </c>
      <c r="L189" s="16" t="s">
        <v>318</v>
      </c>
      <c r="M189" s="16">
        <v>2</v>
      </c>
      <c r="N189" s="16" t="s">
        <v>88</v>
      </c>
      <c r="O189" s="16" t="s">
        <v>104</v>
      </c>
      <c r="P189" s="16" t="s">
        <v>51</v>
      </c>
      <c r="Q189" s="16" t="s">
        <v>52</v>
      </c>
      <c r="R189" s="16" t="s">
        <v>101</v>
      </c>
      <c r="S189" s="16" t="s">
        <v>74</v>
      </c>
      <c r="T189" s="16">
        <v>3</v>
      </c>
      <c r="U189" s="16" t="s">
        <v>90</v>
      </c>
      <c r="V189" s="16" t="s">
        <v>84</v>
      </c>
      <c r="W189" s="16" t="s">
        <v>74</v>
      </c>
      <c r="X189" s="16" t="s">
        <v>84</v>
      </c>
      <c r="Y189" s="16" t="s">
        <v>76</v>
      </c>
      <c r="Z189" s="16"/>
    </row>
    <row r="190" spans="1:26" ht="14.25" customHeight="1" x14ac:dyDescent="0.35">
      <c r="A190" s="16" t="s">
        <v>303</v>
      </c>
      <c r="B190" s="16">
        <v>49</v>
      </c>
      <c r="C190" s="16" t="s">
        <v>316</v>
      </c>
      <c r="D190" s="16" t="s">
        <v>27</v>
      </c>
      <c r="E190" s="16" t="s">
        <v>28</v>
      </c>
      <c r="F190" s="16" t="s">
        <v>181</v>
      </c>
      <c r="G190" s="16" t="s">
        <v>30</v>
      </c>
      <c r="H190" s="16" t="s">
        <v>48</v>
      </c>
      <c r="I190" s="16" t="s">
        <v>32</v>
      </c>
      <c r="J190" s="16" t="s">
        <v>49</v>
      </c>
      <c r="K190" s="16" t="s">
        <v>34</v>
      </c>
      <c r="L190" s="16" t="s">
        <v>35</v>
      </c>
      <c r="M190" s="16">
        <v>5</v>
      </c>
      <c r="N190" s="16" t="s">
        <v>88</v>
      </c>
      <c r="O190" s="16" t="s">
        <v>104</v>
      </c>
      <c r="P190" s="16" t="s">
        <v>64</v>
      </c>
      <c r="Q190" s="16" t="s">
        <v>65</v>
      </c>
      <c r="R190" s="16" t="s">
        <v>53</v>
      </c>
      <c r="S190" s="16" t="s">
        <v>32</v>
      </c>
      <c r="T190" s="16">
        <v>2</v>
      </c>
      <c r="U190" s="16" t="s">
        <v>41</v>
      </c>
      <c r="V190" s="16" t="s">
        <v>42</v>
      </c>
      <c r="W190" s="16" t="s">
        <v>75</v>
      </c>
      <c r="X190" s="16" t="s">
        <v>42</v>
      </c>
      <c r="Y190" s="16" t="s">
        <v>43</v>
      </c>
      <c r="Z190" s="16"/>
    </row>
    <row r="191" spans="1:26" ht="14.25" customHeight="1" x14ac:dyDescent="0.35">
      <c r="A191" s="16" t="s">
        <v>304</v>
      </c>
      <c r="B191" s="16">
        <v>45</v>
      </c>
      <c r="C191" s="16" t="s">
        <v>316</v>
      </c>
      <c r="D191" s="16" t="s">
        <v>27</v>
      </c>
      <c r="E191" s="16" t="s">
        <v>78</v>
      </c>
      <c r="F191" s="16" t="s">
        <v>46</v>
      </c>
      <c r="G191" s="16" t="s">
        <v>47</v>
      </c>
      <c r="H191" s="16" t="s">
        <v>48</v>
      </c>
      <c r="I191" s="16" t="s">
        <v>32</v>
      </c>
      <c r="J191" s="16" t="s">
        <v>92</v>
      </c>
      <c r="K191" s="16" t="s">
        <v>80</v>
      </c>
      <c r="L191" s="16" t="s">
        <v>80</v>
      </c>
      <c r="M191" s="16">
        <v>0</v>
      </c>
      <c r="N191" s="16" t="s">
        <v>81</v>
      </c>
      <c r="O191" s="16" t="s">
        <v>81</v>
      </c>
      <c r="P191" s="16" t="s">
        <v>81</v>
      </c>
      <c r="Q191" s="16" t="s">
        <v>81</v>
      </c>
      <c r="R191" s="16" t="s">
        <v>81</v>
      </c>
      <c r="S191" s="16" t="s">
        <v>74</v>
      </c>
      <c r="T191" s="16" t="s">
        <v>82</v>
      </c>
      <c r="U191" s="16" t="s">
        <v>147</v>
      </c>
      <c r="V191" s="16" t="s">
        <v>132</v>
      </c>
      <c r="W191" s="16" t="s">
        <v>75</v>
      </c>
      <c r="X191" s="16" t="s">
        <v>132</v>
      </c>
      <c r="Y191" s="16" t="s">
        <v>148</v>
      </c>
      <c r="Z191" s="16"/>
    </row>
    <row r="192" spans="1:26" ht="14.25" customHeight="1" x14ac:dyDescent="0.35">
      <c r="A192" s="16" t="s">
        <v>305</v>
      </c>
      <c r="B192" s="16">
        <v>20</v>
      </c>
      <c r="C192" s="16" t="s">
        <v>319</v>
      </c>
      <c r="D192" s="16" t="s">
        <v>27</v>
      </c>
      <c r="E192" s="16" t="s">
        <v>28</v>
      </c>
      <c r="F192" s="16" t="s">
        <v>181</v>
      </c>
      <c r="G192" s="16" t="s">
        <v>30</v>
      </c>
      <c r="H192" s="16" t="s">
        <v>107</v>
      </c>
      <c r="I192" s="16" t="s">
        <v>32</v>
      </c>
      <c r="J192" s="16" t="s">
        <v>79</v>
      </c>
      <c r="K192" s="16" t="s">
        <v>80</v>
      </c>
      <c r="L192" s="16" t="s">
        <v>80</v>
      </c>
      <c r="M192" s="16">
        <v>0</v>
      </c>
      <c r="N192" s="16" t="s">
        <v>81</v>
      </c>
      <c r="O192" s="16" t="s">
        <v>81</v>
      </c>
      <c r="P192" s="16" t="s">
        <v>81</v>
      </c>
      <c r="Q192" s="16" t="s">
        <v>81</v>
      </c>
      <c r="R192" s="16" t="s">
        <v>81</v>
      </c>
      <c r="S192" s="16" t="s">
        <v>74</v>
      </c>
      <c r="T192" s="16" t="s">
        <v>82</v>
      </c>
      <c r="U192" s="16" t="s">
        <v>90</v>
      </c>
      <c r="V192" s="16" t="s">
        <v>42</v>
      </c>
      <c r="W192" s="16" t="s">
        <v>75</v>
      </c>
      <c r="X192" s="16" t="s">
        <v>42</v>
      </c>
      <c r="Y192" s="16" t="s">
        <v>124</v>
      </c>
      <c r="Z192" s="16"/>
    </row>
    <row r="193" spans="1:26" ht="14.25" customHeight="1" x14ac:dyDescent="0.35">
      <c r="A193" s="16" t="s">
        <v>306</v>
      </c>
      <c r="B193" s="16">
        <v>18</v>
      </c>
      <c r="C193" s="16" t="s">
        <v>315</v>
      </c>
      <c r="D193" s="16" t="s">
        <v>27</v>
      </c>
      <c r="E193" s="16" t="s">
        <v>55</v>
      </c>
      <c r="F193" s="16" t="s">
        <v>68</v>
      </c>
      <c r="G193" s="16" t="s">
        <v>30</v>
      </c>
      <c r="H193" s="16" t="s">
        <v>107</v>
      </c>
      <c r="I193" s="16" t="s">
        <v>32</v>
      </c>
      <c r="J193" s="16" t="s">
        <v>57</v>
      </c>
      <c r="K193" s="16" t="s">
        <v>34</v>
      </c>
      <c r="L193" s="16" t="s">
        <v>50</v>
      </c>
      <c r="M193" s="16">
        <v>3</v>
      </c>
      <c r="N193" s="16" t="s">
        <v>88</v>
      </c>
      <c r="O193" s="16" t="s">
        <v>104</v>
      </c>
      <c r="P193" s="16" t="s">
        <v>64</v>
      </c>
      <c r="Q193" s="16" t="s">
        <v>65</v>
      </c>
      <c r="R193" s="16" t="s">
        <v>116</v>
      </c>
      <c r="S193" s="16" t="s">
        <v>74</v>
      </c>
      <c r="T193" s="16">
        <v>1</v>
      </c>
      <c r="U193" s="16" t="s">
        <v>60</v>
      </c>
      <c r="V193" s="16" t="s">
        <v>98</v>
      </c>
      <c r="W193" s="16" t="s">
        <v>32</v>
      </c>
      <c r="X193" s="16" t="s">
        <v>98</v>
      </c>
      <c r="Y193" s="16" t="s">
        <v>76</v>
      </c>
      <c r="Z193" s="16"/>
    </row>
    <row r="194" spans="1:26" ht="14.25" customHeight="1" x14ac:dyDescent="0.35">
      <c r="A194" s="16" t="s">
        <v>307</v>
      </c>
      <c r="B194" s="16">
        <v>48</v>
      </c>
      <c r="C194" s="16" t="s">
        <v>316</v>
      </c>
      <c r="D194" s="16" t="s">
        <v>27</v>
      </c>
      <c r="E194" s="16" t="s">
        <v>118</v>
      </c>
      <c r="F194" s="16" t="s">
        <v>181</v>
      </c>
      <c r="G194" s="16" t="s">
        <v>87</v>
      </c>
      <c r="H194" s="16" t="s">
        <v>119</v>
      </c>
      <c r="I194" s="16" t="s">
        <v>32</v>
      </c>
      <c r="J194" s="16" t="s">
        <v>57</v>
      </c>
      <c r="K194" s="16" t="s">
        <v>34</v>
      </c>
      <c r="L194" s="16" t="s">
        <v>318</v>
      </c>
      <c r="M194" s="16">
        <v>4</v>
      </c>
      <c r="N194" s="16" t="s">
        <v>88</v>
      </c>
      <c r="O194" s="16" t="s">
        <v>104</v>
      </c>
      <c r="P194" s="16" t="s">
        <v>64</v>
      </c>
      <c r="Q194" s="16" t="s">
        <v>52</v>
      </c>
      <c r="R194" s="16" t="s">
        <v>40</v>
      </c>
      <c r="S194" s="16" t="s">
        <v>32</v>
      </c>
      <c r="T194" s="16">
        <v>3</v>
      </c>
      <c r="U194" s="16" t="s">
        <v>41</v>
      </c>
      <c r="V194" s="16" t="s">
        <v>114</v>
      </c>
      <c r="W194" s="16" t="s">
        <v>32</v>
      </c>
      <c r="X194" s="16" t="s">
        <v>114</v>
      </c>
      <c r="Y194" s="16" t="s">
        <v>43</v>
      </c>
      <c r="Z194" s="16"/>
    </row>
    <row r="195" spans="1:26" ht="14.25" customHeight="1" x14ac:dyDescent="0.35">
      <c r="A195" s="16" t="s">
        <v>308</v>
      </c>
      <c r="B195" s="16">
        <v>14</v>
      </c>
      <c r="C195" s="16" t="s">
        <v>315</v>
      </c>
      <c r="D195" s="16" t="s">
        <v>27</v>
      </c>
      <c r="E195" s="16" t="s">
        <v>55</v>
      </c>
      <c r="F195" s="16" t="s">
        <v>68</v>
      </c>
      <c r="G195" s="16" t="s">
        <v>87</v>
      </c>
      <c r="H195" s="16" t="s">
        <v>31</v>
      </c>
      <c r="I195" s="16" t="s">
        <v>74</v>
      </c>
      <c r="J195" s="16" t="s">
        <v>96</v>
      </c>
      <c r="K195" s="16" t="s">
        <v>80</v>
      </c>
      <c r="L195" s="16" t="s">
        <v>80</v>
      </c>
      <c r="M195" s="16">
        <v>0</v>
      </c>
      <c r="N195" s="16" t="s">
        <v>81</v>
      </c>
      <c r="O195" s="16" t="s">
        <v>81</v>
      </c>
      <c r="P195" s="16" t="s">
        <v>81</v>
      </c>
      <c r="Q195" s="16" t="s">
        <v>81</v>
      </c>
      <c r="R195" s="16" t="s">
        <v>81</v>
      </c>
      <c r="S195" s="16" t="s">
        <v>74</v>
      </c>
      <c r="T195" s="16" t="s">
        <v>82</v>
      </c>
      <c r="U195" s="16" t="s">
        <v>97</v>
      </c>
      <c r="V195" s="16" t="s">
        <v>84</v>
      </c>
      <c r="W195" s="16" t="s">
        <v>74</v>
      </c>
      <c r="X195" s="16" t="s">
        <v>84</v>
      </c>
      <c r="Y195" s="16" t="s">
        <v>99</v>
      </c>
      <c r="Z195" s="16"/>
    </row>
    <row r="196" spans="1:26" ht="14.25" customHeight="1" x14ac:dyDescent="0.35">
      <c r="A196" s="16" t="s">
        <v>309</v>
      </c>
      <c r="B196" s="16">
        <v>29</v>
      </c>
      <c r="C196" s="16" t="s">
        <v>319</v>
      </c>
      <c r="D196" s="16" t="s">
        <v>27</v>
      </c>
      <c r="E196" s="16" t="s">
        <v>28</v>
      </c>
      <c r="F196" s="16" t="s">
        <v>29</v>
      </c>
      <c r="G196" s="16" t="s">
        <v>30</v>
      </c>
      <c r="H196" s="16" t="s">
        <v>107</v>
      </c>
      <c r="I196" s="16" t="s">
        <v>74</v>
      </c>
      <c r="J196" s="16" t="s">
        <v>96</v>
      </c>
      <c r="K196" s="16" t="s">
        <v>80</v>
      </c>
      <c r="L196" s="16" t="s">
        <v>80</v>
      </c>
      <c r="M196" s="16">
        <v>0</v>
      </c>
      <c r="N196" s="16" t="s">
        <v>81</v>
      </c>
      <c r="O196" s="16" t="s">
        <v>81</v>
      </c>
      <c r="P196" s="16" t="s">
        <v>81</v>
      </c>
      <c r="Q196" s="16" t="s">
        <v>81</v>
      </c>
      <c r="R196" s="16" t="s">
        <v>81</v>
      </c>
      <c r="S196" s="16" t="s">
        <v>74</v>
      </c>
      <c r="T196" s="16" t="s">
        <v>82</v>
      </c>
      <c r="U196" s="16" t="s">
        <v>97</v>
      </c>
      <c r="V196" s="16" t="s">
        <v>84</v>
      </c>
      <c r="W196" s="16" t="s">
        <v>75</v>
      </c>
      <c r="X196" s="16" t="s">
        <v>84</v>
      </c>
      <c r="Y196" s="16" t="s">
        <v>99</v>
      </c>
      <c r="Z196" s="16"/>
    </row>
    <row r="197" spans="1:26" ht="14.25" customHeight="1" x14ac:dyDescent="0.35">
      <c r="A197" s="16" t="s">
        <v>310</v>
      </c>
      <c r="B197" s="16">
        <v>55</v>
      </c>
      <c r="C197" s="16" t="s">
        <v>63</v>
      </c>
      <c r="D197" s="16" t="s">
        <v>27</v>
      </c>
      <c r="E197" s="16" t="s">
        <v>118</v>
      </c>
      <c r="F197" s="16" t="s">
        <v>29</v>
      </c>
      <c r="G197" s="16" t="s">
        <v>87</v>
      </c>
      <c r="H197" s="16" t="s">
        <v>48</v>
      </c>
      <c r="I197" s="16" t="s">
        <v>32</v>
      </c>
      <c r="J197" s="16" t="s">
        <v>79</v>
      </c>
      <c r="K197" s="16" t="s">
        <v>80</v>
      </c>
      <c r="L197" s="16" t="s">
        <v>80</v>
      </c>
      <c r="M197" s="16">
        <v>0</v>
      </c>
      <c r="N197" s="16" t="s">
        <v>81</v>
      </c>
      <c r="O197" s="16" t="s">
        <v>81</v>
      </c>
      <c r="P197" s="16" t="s">
        <v>81</v>
      </c>
      <c r="Q197" s="16" t="s">
        <v>81</v>
      </c>
      <c r="R197" s="16" t="s">
        <v>81</v>
      </c>
      <c r="S197" s="16" t="s">
        <v>74</v>
      </c>
      <c r="T197" s="16" t="s">
        <v>82</v>
      </c>
      <c r="U197" s="16" t="s">
        <v>90</v>
      </c>
      <c r="V197" s="16" t="s">
        <v>114</v>
      </c>
      <c r="W197" s="16" t="s">
        <v>74</v>
      </c>
      <c r="X197" s="16" t="s">
        <v>114</v>
      </c>
      <c r="Y197" s="16" t="s">
        <v>124</v>
      </c>
      <c r="Z197" s="16"/>
    </row>
    <row r="198" spans="1:26" ht="14.25" customHeight="1" x14ac:dyDescent="0.35">
      <c r="A198" s="16" t="s">
        <v>311</v>
      </c>
      <c r="B198" s="16">
        <v>14</v>
      </c>
      <c r="C198" s="16" t="s">
        <v>315</v>
      </c>
      <c r="D198" s="16" t="s">
        <v>27</v>
      </c>
      <c r="E198" s="16" t="s">
        <v>55</v>
      </c>
      <c r="F198" s="16" t="s">
        <v>29</v>
      </c>
      <c r="G198" s="16" t="s">
        <v>87</v>
      </c>
      <c r="H198" s="16" t="s">
        <v>31</v>
      </c>
      <c r="I198" s="16" t="s">
        <v>32</v>
      </c>
      <c r="J198" s="16" t="s">
        <v>33</v>
      </c>
      <c r="K198" s="16" t="s">
        <v>34</v>
      </c>
      <c r="L198" s="16" t="s">
        <v>50</v>
      </c>
      <c r="M198" s="16">
        <v>4</v>
      </c>
      <c r="N198" s="16" t="s">
        <v>88</v>
      </c>
      <c r="O198" s="16" t="s">
        <v>89</v>
      </c>
      <c r="P198" s="16" t="s">
        <v>64</v>
      </c>
      <c r="Q198" s="16" t="s">
        <v>59</v>
      </c>
      <c r="R198" s="16" t="s">
        <v>53</v>
      </c>
      <c r="S198" s="16" t="s">
        <v>74</v>
      </c>
      <c r="T198" s="16">
        <v>2</v>
      </c>
      <c r="U198" s="16" t="s">
        <v>90</v>
      </c>
      <c r="V198" s="16" t="s">
        <v>42</v>
      </c>
      <c r="W198" s="16" t="s">
        <v>75</v>
      </c>
      <c r="X198" s="16" t="s">
        <v>42</v>
      </c>
      <c r="Y198" s="16" t="s">
        <v>76</v>
      </c>
      <c r="Z198" s="16"/>
    </row>
    <row r="199" spans="1:26" ht="14.25" customHeight="1" x14ac:dyDescent="0.35">
      <c r="A199" s="16" t="s">
        <v>312</v>
      </c>
      <c r="B199" s="16">
        <v>34</v>
      </c>
      <c r="C199" s="16" t="s">
        <v>317</v>
      </c>
      <c r="D199" s="16" t="s">
        <v>27</v>
      </c>
      <c r="E199" s="16" t="s">
        <v>28</v>
      </c>
      <c r="F199" s="16" t="s">
        <v>56</v>
      </c>
      <c r="G199" s="16" t="s">
        <v>30</v>
      </c>
      <c r="H199" s="16" t="s">
        <v>48</v>
      </c>
      <c r="I199" s="16" t="s">
        <v>32</v>
      </c>
      <c r="J199" s="16" t="s">
        <v>49</v>
      </c>
      <c r="K199" s="16" t="s">
        <v>34</v>
      </c>
      <c r="L199" s="16" t="s">
        <v>50</v>
      </c>
      <c r="M199" s="16">
        <v>3</v>
      </c>
      <c r="N199" s="16" t="s">
        <v>88</v>
      </c>
      <c r="O199" s="16" t="s">
        <v>89</v>
      </c>
      <c r="P199" s="16" t="s">
        <v>51</v>
      </c>
      <c r="Q199" s="16" t="s">
        <v>94</v>
      </c>
      <c r="R199" s="16" t="s">
        <v>101</v>
      </c>
      <c r="S199" s="16" t="s">
        <v>74</v>
      </c>
      <c r="T199" s="16">
        <v>1</v>
      </c>
      <c r="U199" s="16" t="s">
        <v>121</v>
      </c>
      <c r="V199" s="16" t="s">
        <v>42</v>
      </c>
      <c r="W199" s="16" t="s">
        <v>32</v>
      </c>
      <c r="X199" s="16" t="s">
        <v>42</v>
      </c>
      <c r="Y199" s="16" t="s">
        <v>76</v>
      </c>
      <c r="Z199" s="16"/>
    </row>
    <row r="200" spans="1:26" ht="14.25" customHeight="1" x14ac:dyDescent="0.35">
      <c r="A200" s="16" t="s">
        <v>313</v>
      </c>
      <c r="B200" s="16">
        <v>57</v>
      </c>
      <c r="C200" s="16" t="s">
        <v>63</v>
      </c>
      <c r="D200" s="16" t="s">
        <v>27</v>
      </c>
      <c r="E200" s="16" t="s">
        <v>33</v>
      </c>
      <c r="F200" s="16" t="s">
        <v>68</v>
      </c>
      <c r="G200" s="16" t="s">
        <v>47</v>
      </c>
      <c r="H200" s="16" t="s">
        <v>119</v>
      </c>
      <c r="I200" s="16" t="s">
        <v>74</v>
      </c>
      <c r="J200" s="16" t="s">
        <v>96</v>
      </c>
      <c r="K200" s="16" t="s">
        <v>80</v>
      </c>
      <c r="L200" s="16" t="s">
        <v>80</v>
      </c>
      <c r="M200" s="16">
        <v>0</v>
      </c>
      <c r="N200" s="16" t="s">
        <v>81</v>
      </c>
      <c r="O200" s="16" t="s">
        <v>81</v>
      </c>
      <c r="P200" s="16" t="s">
        <v>81</v>
      </c>
      <c r="Q200" s="16" t="s">
        <v>81</v>
      </c>
      <c r="R200" s="16" t="s">
        <v>81</v>
      </c>
      <c r="S200" s="16" t="s">
        <v>74</v>
      </c>
      <c r="T200" s="16" t="s">
        <v>82</v>
      </c>
      <c r="U200" s="16" t="s">
        <v>97</v>
      </c>
      <c r="V200" s="16" t="s">
        <v>98</v>
      </c>
      <c r="W200" s="16" t="s">
        <v>75</v>
      </c>
      <c r="X200" s="16" t="s">
        <v>98</v>
      </c>
      <c r="Y200" s="16" t="s">
        <v>99</v>
      </c>
      <c r="Z200" s="16"/>
    </row>
    <row r="201" spans="1:26" ht="14.25" customHeight="1" x14ac:dyDescent="0.35">
      <c r="A201" s="16" t="s">
        <v>314</v>
      </c>
      <c r="B201" s="16">
        <v>14</v>
      </c>
      <c r="C201" s="16" t="s">
        <v>315</v>
      </c>
      <c r="D201" s="16" t="s">
        <v>27</v>
      </c>
      <c r="E201" s="16" t="s">
        <v>28</v>
      </c>
      <c r="F201" s="16" t="s">
        <v>68</v>
      </c>
      <c r="G201" s="16" t="s">
        <v>30</v>
      </c>
      <c r="H201" s="16" t="s">
        <v>31</v>
      </c>
      <c r="I201" s="16" t="s">
        <v>32</v>
      </c>
      <c r="J201" s="16" t="s">
        <v>79</v>
      </c>
      <c r="K201" s="16" t="s">
        <v>34</v>
      </c>
      <c r="L201" s="16" t="s">
        <v>50</v>
      </c>
      <c r="M201" s="16">
        <v>4</v>
      </c>
      <c r="N201" s="16" t="s">
        <v>93</v>
      </c>
      <c r="O201" s="16" t="s">
        <v>142</v>
      </c>
      <c r="P201" s="16" t="s">
        <v>127</v>
      </c>
      <c r="Q201" s="16" t="s">
        <v>94</v>
      </c>
      <c r="R201" s="16" t="s">
        <v>116</v>
      </c>
      <c r="S201" s="16" t="s">
        <v>32</v>
      </c>
      <c r="T201" s="16">
        <v>1</v>
      </c>
      <c r="U201" s="16" t="s">
        <v>90</v>
      </c>
      <c r="V201" s="16" t="s">
        <v>84</v>
      </c>
      <c r="W201" s="16" t="s">
        <v>74</v>
      </c>
      <c r="X201" s="16" t="s">
        <v>84</v>
      </c>
      <c r="Y201" s="16" t="s">
        <v>108</v>
      </c>
      <c r="Z201" s="16"/>
    </row>
    <row r="202" spans="1:26" ht="14.2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.2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.2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.2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.2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.2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.2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.2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.2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.2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.2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.2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.2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.2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2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2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2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2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.2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.25" customHeight="1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.25" customHeight="1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.25" customHeight="1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.25" customHeight="1" x14ac:dyDescent="0.3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.25" customHeight="1" x14ac:dyDescent="0.3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.25" customHeight="1" x14ac:dyDescent="0.3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.25" customHeight="1" x14ac:dyDescent="0.3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.25" customHeight="1" x14ac:dyDescent="0.3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.25" customHeight="1" x14ac:dyDescent="0.3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.25" customHeight="1" x14ac:dyDescent="0.3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.25" customHeight="1" x14ac:dyDescent="0.3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.25" customHeight="1" x14ac:dyDescent="0.3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.25" customHeight="1" x14ac:dyDescent="0.3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.25" customHeight="1" x14ac:dyDescent="0.3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.25" customHeight="1" x14ac:dyDescent="0.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.25" customHeight="1" x14ac:dyDescent="0.3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.25" customHeight="1" x14ac:dyDescent="0.3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.25" customHeight="1" x14ac:dyDescent="0.3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.25" customHeight="1" x14ac:dyDescent="0.3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.25" customHeight="1" x14ac:dyDescent="0.3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25" customHeight="1" x14ac:dyDescent="0.3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.25" customHeight="1" x14ac:dyDescent="0.3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.25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.25" customHeight="1" x14ac:dyDescent="0.3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.25" customHeight="1" x14ac:dyDescent="0.3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.25" customHeight="1" x14ac:dyDescent="0.3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.25" customHeight="1" x14ac:dyDescent="0.3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.2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.2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.2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.2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.2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.2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.2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.2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.2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.2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.2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.2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2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.2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.2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.2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.2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.2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.2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.2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.2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2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.2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.2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.2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.2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.2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.2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.2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.2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.2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2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.2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.2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.2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.2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.2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.2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.2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.2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.2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.2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.2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.2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.2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.2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.2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.2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.2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.2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.2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.2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.2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.2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2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.2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.2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.2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.2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.2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.2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.2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.2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.2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.2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.2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.2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.2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.2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.2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.2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.2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.2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.2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.2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.2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.2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.2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.2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.2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.2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.2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.2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.2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.2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.2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.2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.2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.2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.2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.2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.2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2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.2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.2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.2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.2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.2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.2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.2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.2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.2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.2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.2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.2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.2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.2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.2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.2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.2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.2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.2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.2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.2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.2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.2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.2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.2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.2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.2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.2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.2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.2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.2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.2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2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.2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.2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.2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.2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.2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.2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.2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.2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2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.2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.2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.2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.2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.2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.2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.2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.2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.2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.2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.2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.2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.2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.2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.2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.2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.2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2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.2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.2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.2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.2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.2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.2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.2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.2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.2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.2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.2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.2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.2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2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.2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.2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.2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.2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.2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.2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.2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.2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.2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.2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2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.2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2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2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2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2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.2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.2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.2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.2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2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.2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.2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.2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.2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.2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.2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.2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.2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.2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.2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.2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.2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.2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.2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.2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.2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.2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.2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.2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.2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.2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.2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.2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.2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.2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.2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2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.2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.2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.2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.2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2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.2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.2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.2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.2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.2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.2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.2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.2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.2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.2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.2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.2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.2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.2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.2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.2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.2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.2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2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.2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.2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.2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.2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2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2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2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2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2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2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2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2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.2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.2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.2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.2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.2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.2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.2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.2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.2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2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.2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.2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.2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.2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.2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.2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.2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.2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.2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.2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2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.2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.2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.2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.2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2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.2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.2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.2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.2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.2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.2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.2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.2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.2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.2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.2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.2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.2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.2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.2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.2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.2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.2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.2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.2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.2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.2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.2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.2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.2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2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.2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.2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.2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.2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.2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.2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.2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.2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.2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.2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.2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.2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.2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.2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.2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.2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2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.2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.2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.2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.2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.2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.2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.2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.2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2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.2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.2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.2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.2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.2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.2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.2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.2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.2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.2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.2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.2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.2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2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2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2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2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2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2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2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2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.2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.2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.2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.2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.2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.2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.2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.2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.2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.2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.2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.2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2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.2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.2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.2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.2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.2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.2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4.2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4.2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4.2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4.2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4.2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4.2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4.2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.2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4.2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4.2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4.2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4.2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4.2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4.2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4.2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.2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4.2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4.2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4.2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4.2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4.2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4.2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4.2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4.2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4.2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4.2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4.2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4.2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4.2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4.2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.2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4.2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4.2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4.2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4.2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4.2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4.2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4.2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4.2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4.2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4.2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4.2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4.2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4.2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4.2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4.2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4.2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.2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4.2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4.2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4.2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4.2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4.2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4.2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4.2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4.2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.2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4.2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4.2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4.2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4.2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4.2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4.2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4.2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4.2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4.2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4.2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4.2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4.2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4.2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4.2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4.2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4.2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4.2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.2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4.2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4.2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4.2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4.2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4.2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4.2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4.2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4.2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.2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4.2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4.2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4.2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4.2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4.2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4.2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4.2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.2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4.2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4.2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4.2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.2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4.2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4.2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4.2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4.2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4.2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4.2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4.2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4.2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4.2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.2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4.2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4.2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4.2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4.2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4.2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4.2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4.2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4.2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4.2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4.2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4.2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4.2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4.2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.2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4.2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4.2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4.2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4.2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4.2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4.2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4.2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4.2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4.2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.2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4.2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4.2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4.2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4.2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.2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4.2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4.2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4.2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4.2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4.2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4.2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4.2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4.2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4.2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4.2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4.2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4.2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4.2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4.2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.2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4.2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4.2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4.2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4.2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4.2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4.2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4.2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4.2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4.2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4.2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4.2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4.2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4.2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.2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4.2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4.2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4.2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4.2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.2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4.2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4.2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4.2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4.2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.2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4.2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4.2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4.2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.2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4.2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4.2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4.2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4.2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4.2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.2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.2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.2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.2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.2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4.2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4.2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4.2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4.2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4.2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4.2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4.2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4.2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4.2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4.2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.2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.2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.2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.2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4.2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.2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4.2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4.2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4.2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4.2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.2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4.2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4.2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4.2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.2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.2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.2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.2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.2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4.2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4.2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4.2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4.2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4.2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4.2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4.2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4.2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4.2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4.2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.2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.2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.2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.2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.2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.2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.2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4.2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4.2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4.2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4.2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4.2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4.2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.2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.2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.2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.2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.2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.2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.2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4.2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4.2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4.2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.2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4.2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4.2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4.2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4.2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4.2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4.2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.2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.2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.2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2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.2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4.2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4.2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4.2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4.2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4.2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4.2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4.2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4.2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4.2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4.2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.2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.2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.2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.2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.2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2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.2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.2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4.2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4.2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4.2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4.2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4.2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4.2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4.2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4.2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4.2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4.2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.2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.2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.2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.2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4.2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.2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4.2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4.2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4.2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4.2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4.2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4.2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4.2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4.2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4.2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4.2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4.2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4.2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4.2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4.2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4.2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4.2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4.2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4.2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4.2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4.2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4.2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4.2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4.2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4.2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4.2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4.2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4.2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4.2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4.2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4.2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4.2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4.2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.2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4.2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4.2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4.2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4.2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4.2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4.2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4.2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4.2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4.2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4.2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4.2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4.2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4.2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4.2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4.2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4.2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4.2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4.2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4.2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4.2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4.2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4.2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4.2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4.2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4.2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4.2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4.2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4.2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4.2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4.2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4.2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4.2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.2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4.2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4.2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4.2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4.2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4.2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4.2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4.2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4.25" customHeight="1" x14ac:dyDescent="0.3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4.25" customHeight="1" x14ac:dyDescent="0.3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4.25" customHeight="1" x14ac:dyDescent="0.3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4.25" customHeight="1" x14ac:dyDescent="0.3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4.25" customHeight="1" x14ac:dyDescent="0.3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4.25" customHeight="1" x14ac:dyDescent="0.3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4.25" customHeight="1" x14ac:dyDescent="0.3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4.25" customHeight="1" x14ac:dyDescent="0.3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4.25" customHeight="1" x14ac:dyDescent="0.3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4.25" customHeight="1" x14ac:dyDescent="0.3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4.25" customHeight="1" x14ac:dyDescent="0.3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4.25" customHeight="1" x14ac:dyDescent="0.3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4.25" customHeight="1" x14ac:dyDescent="0.3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4.25" customHeight="1" x14ac:dyDescent="0.3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7"/>
  <sheetViews>
    <sheetView showGridLines="0" zoomScaleNormal="100" workbookViewId="0"/>
  </sheetViews>
  <sheetFormatPr defaultColWidth="14.453125" defaultRowHeight="14.5" x14ac:dyDescent="0.35"/>
  <cols>
    <col min="1" max="1" width="48.54296875" customWidth="1"/>
    <col min="2" max="2" width="17.7265625" customWidth="1"/>
    <col min="9" max="9" width="11.7265625" customWidth="1"/>
    <col min="10" max="10" width="9.453125" customWidth="1"/>
    <col min="12" max="12" width="11.7265625" customWidth="1"/>
    <col min="13" max="13" width="9.7265625" customWidth="1"/>
  </cols>
  <sheetData>
    <row r="1" spans="1:13" x14ac:dyDescent="0.35">
      <c r="A1" s="14" t="s">
        <v>320</v>
      </c>
      <c r="B1" s="14"/>
      <c r="C1" s="14"/>
      <c r="D1" s="14"/>
      <c r="E1" s="14"/>
    </row>
    <row r="2" spans="1:13" x14ac:dyDescent="0.35">
      <c r="A2" s="17" t="s">
        <v>321</v>
      </c>
      <c r="B2" t="s">
        <v>10</v>
      </c>
    </row>
    <row r="3" spans="1:13" x14ac:dyDescent="0.35">
      <c r="A3" t="s">
        <v>2</v>
      </c>
      <c r="C3" t="s">
        <v>34</v>
      </c>
      <c r="D3" t="s">
        <v>80</v>
      </c>
      <c r="E3" t="s">
        <v>322</v>
      </c>
      <c r="G3" s="14" t="s">
        <v>323</v>
      </c>
      <c r="H3" s="14"/>
      <c r="I3" s="14"/>
      <c r="J3" s="14"/>
      <c r="K3" s="14"/>
    </row>
    <row r="4" spans="1:13" x14ac:dyDescent="0.35">
      <c r="B4">
        <v>0</v>
      </c>
      <c r="E4">
        <v>0</v>
      </c>
      <c r="G4" s="17" t="s">
        <v>321</v>
      </c>
      <c r="H4" t="s">
        <v>13</v>
      </c>
    </row>
    <row r="5" spans="1:13" x14ac:dyDescent="0.35">
      <c r="A5" t="s">
        <v>315</v>
      </c>
      <c r="C5">
        <v>49</v>
      </c>
      <c r="D5">
        <v>23</v>
      </c>
      <c r="E5">
        <v>72</v>
      </c>
      <c r="G5" t="s">
        <v>6</v>
      </c>
      <c r="I5" t="s">
        <v>36</v>
      </c>
      <c r="J5" t="s">
        <v>93</v>
      </c>
      <c r="K5" t="s">
        <v>81</v>
      </c>
      <c r="L5" t="s">
        <v>88</v>
      </c>
      <c r="M5" t="s">
        <v>322</v>
      </c>
    </row>
    <row r="6" spans="1:13" x14ac:dyDescent="0.35">
      <c r="A6" t="s">
        <v>319</v>
      </c>
      <c r="C6">
        <v>15</v>
      </c>
      <c r="D6">
        <v>7</v>
      </c>
      <c r="E6">
        <v>22</v>
      </c>
      <c r="H6">
        <v>0</v>
      </c>
      <c r="M6">
        <v>0</v>
      </c>
    </row>
    <row r="7" spans="1:13" x14ac:dyDescent="0.35">
      <c r="A7" t="s">
        <v>317</v>
      </c>
      <c r="C7">
        <v>21</v>
      </c>
      <c r="D7">
        <v>13</v>
      </c>
      <c r="E7">
        <v>34</v>
      </c>
      <c r="G7" t="s">
        <v>30</v>
      </c>
      <c r="I7">
        <v>8</v>
      </c>
      <c r="J7">
        <v>5</v>
      </c>
      <c r="K7">
        <v>18</v>
      </c>
      <c r="L7">
        <v>32</v>
      </c>
      <c r="M7">
        <v>63</v>
      </c>
    </row>
    <row r="8" spans="1:13" x14ac:dyDescent="0.35">
      <c r="A8" t="s">
        <v>316</v>
      </c>
      <c r="C8">
        <v>25</v>
      </c>
      <c r="D8">
        <v>13</v>
      </c>
      <c r="E8">
        <v>38</v>
      </c>
      <c r="G8" t="s">
        <v>47</v>
      </c>
      <c r="I8">
        <v>16</v>
      </c>
      <c r="K8">
        <v>15</v>
      </c>
      <c r="L8">
        <v>6</v>
      </c>
      <c r="M8">
        <v>37</v>
      </c>
    </row>
    <row r="9" spans="1:13" x14ac:dyDescent="0.35">
      <c r="A9" t="s">
        <v>63</v>
      </c>
      <c r="C9">
        <v>20</v>
      </c>
      <c r="D9">
        <v>14</v>
      </c>
      <c r="E9">
        <v>34</v>
      </c>
      <c r="G9" t="s">
        <v>72</v>
      </c>
      <c r="I9">
        <v>13</v>
      </c>
      <c r="K9">
        <v>5</v>
      </c>
      <c r="L9">
        <v>1</v>
      </c>
      <c r="M9">
        <v>19</v>
      </c>
    </row>
    <row r="10" spans="1:13" x14ac:dyDescent="0.35">
      <c r="A10" t="s">
        <v>322</v>
      </c>
      <c r="B10">
        <v>0</v>
      </c>
      <c r="C10">
        <v>130</v>
      </c>
      <c r="D10">
        <v>70</v>
      </c>
      <c r="E10">
        <v>200</v>
      </c>
      <c r="G10" t="s">
        <v>87</v>
      </c>
      <c r="J10">
        <v>25</v>
      </c>
      <c r="K10">
        <v>32</v>
      </c>
      <c r="L10">
        <v>24</v>
      </c>
      <c r="M10">
        <v>81</v>
      </c>
    </row>
    <row r="11" spans="1:13" x14ac:dyDescent="0.35">
      <c r="G11" t="s">
        <v>322</v>
      </c>
      <c r="H11">
        <v>0</v>
      </c>
      <c r="I11">
        <v>37</v>
      </c>
      <c r="J11">
        <v>30</v>
      </c>
      <c r="K11">
        <v>70</v>
      </c>
      <c r="L11">
        <v>63</v>
      </c>
      <c r="M11">
        <v>200</v>
      </c>
    </row>
    <row r="13" spans="1:13" x14ac:dyDescent="0.35">
      <c r="A13" s="14" t="s">
        <v>324</v>
      </c>
      <c r="B13" s="14"/>
      <c r="C13" s="14"/>
    </row>
    <row r="14" spans="1:13" x14ac:dyDescent="0.35">
      <c r="A14" s="18" t="s">
        <v>325</v>
      </c>
      <c r="B14" t="s">
        <v>10</v>
      </c>
    </row>
    <row r="15" spans="1:13" ht="28.4" customHeight="1" x14ac:dyDescent="0.35">
      <c r="A15" t="s">
        <v>7</v>
      </c>
      <c r="C15" t="s">
        <v>34</v>
      </c>
      <c r="D15" t="s">
        <v>80</v>
      </c>
      <c r="E15" t="s">
        <v>322</v>
      </c>
      <c r="G15" s="13" t="s">
        <v>326</v>
      </c>
      <c r="H15" s="13"/>
      <c r="I15" s="13"/>
      <c r="J15" s="13"/>
      <c r="K15" s="13"/>
    </row>
    <row r="16" spans="1:13" ht="29" x14ac:dyDescent="0.35">
      <c r="B16">
        <v>0</v>
      </c>
      <c r="E16">
        <v>0</v>
      </c>
      <c r="G16" s="19" t="s">
        <v>321</v>
      </c>
      <c r="H16" t="s">
        <v>15</v>
      </c>
    </row>
    <row r="17" spans="1:21" x14ac:dyDescent="0.35">
      <c r="A17" t="s">
        <v>48</v>
      </c>
      <c r="C17">
        <v>59</v>
      </c>
      <c r="D17">
        <v>37</v>
      </c>
      <c r="E17">
        <v>96</v>
      </c>
      <c r="G17" t="s">
        <v>13</v>
      </c>
      <c r="I17" t="s">
        <v>58</v>
      </c>
      <c r="J17" t="s">
        <v>51</v>
      </c>
      <c r="K17" t="s">
        <v>64</v>
      </c>
      <c r="L17" t="s">
        <v>81</v>
      </c>
      <c r="M17" t="s">
        <v>38</v>
      </c>
      <c r="N17" t="s">
        <v>127</v>
      </c>
      <c r="O17" t="s">
        <v>322</v>
      </c>
    </row>
    <row r="18" spans="1:21" x14ac:dyDescent="0.35">
      <c r="A18" t="s">
        <v>119</v>
      </c>
      <c r="C18">
        <v>7</v>
      </c>
      <c r="D18">
        <v>3</v>
      </c>
      <c r="E18">
        <v>10</v>
      </c>
      <c r="H18">
        <v>0</v>
      </c>
      <c r="O18">
        <v>0</v>
      </c>
    </row>
    <row r="19" spans="1:21" x14ac:dyDescent="0.35">
      <c r="A19" t="s">
        <v>31</v>
      </c>
      <c r="C19">
        <v>37</v>
      </c>
      <c r="D19">
        <v>15</v>
      </c>
      <c r="E19">
        <v>52</v>
      </c>
      <c r="G19" t="s">
        <v>36</v>
      </c>
      <c r="I19">
        <v>12</v>
      </c>
      <c r="J19">
        <v>6</v>
      </c>
      <c r="K19">
        <v>13</v>
      </c>
      <c r="M19">
        <v>6</v>
      </c>
      <c r="O19">
        <v>37</v>
      </c>
    </row>
    <row r="20" spans="1:21" x14ac:dyDescent="0.35">
      <c r="A20" t="s">
        <v>107</v>
      </c>
      <c r="C20">
        <v>27</v>
      </c>
      <c r="D20">
        <v>15</v>
      </c>
      <c r="E20">
        <v>42</v>
      </c>
      <c r="G20" t="s">
        <v>93</v>
      </c>
      <c r="J20">
        <v>8</v>
      </c>
      <c r="M20">
        <v>2</v>
      </c>
      <c r="N20">
        <v>20</v>
      </c>
      <c r="O20">
        <v>30</v>
      </c>
    </row>
    <row r="21" spans="1:21" x14ac:dyDescent="0.35">
      <c r="A21" t="s">
        <v>322</v>
      </c>
      <c r="B21">
        <v>0</v>
      </c>
      <c r="C21">
        <v>130</v>
      </c>
      <c r="D21">
        <v>70</v>
      </c>
      <c r="E21">
        <v>200</v>
      </c>
      <c r="G21" t="s">
        <v>81</v>
      </c>
      <c r="L21">
        <v>70</v>
      </c>
      <c r="O21">
        <v>70</v>
      </c>
    </row>
    <row r="22" spans="1:21" x14ac:dyDescent="0.35">
      <c r="G22" t="s">
        <v>88</v>
      </c>
      <c r="I22">
        <v>5</v>
      </c>
      <c r="J22">
        <v>23</v>
      </c>
      <c r="K22">
        <v>28</v>
      </c>
      <c r="N22">
        <v>7</v>
      </c>
      <c r="O22">
        <v>63</v>
      </c>
    </row>
    <row r="23" spans="1:21" x14ac:dyDescent="0.35">
      <c r="G23" t="s">
        <v>322</v>
      </c>
      <c r="H23">
        <v>0</v>
      </c>
      <c r="I23">
        <v>17</v>
      </c>
      <c r="J23">
        <v>37</v>
      </c>
      <c r="K23">
        <v>41</v>
      </c>
      <c r="L23">
        <v>70</v>
      </c>
      <c r="M23">
        <v>8</v>
      </c>
      <c r="N23">
        <v>27</v>
      </c>
      <c r="O23">
        <v>200</v>
      </c>
    </row>
    <row r="25" spans="1:21" x14ac:dyDescent="0.35">
      <c r="A25" s="14" t="s">
        <v>323</v>
      </c>
      <c r="B25" s="14"/>
      <c r="C25" s="14"/>
      <c r="D25" s="14"/>
      <c r="E25" s="14"/>
    </row>
    <row r="26" spans="1:21" x14ac:dyDescent="0.35">
      <c r="A26" s="17" t="s">
        <v>321</v>
      </c>
      <c r="B26" t="s">
        <v>13</v>
      </c>
      <c r="C26" t="s">
        <v>17</v>
      </c>
    </row>
    <row r="27" spans="1:21" x14ac:dyDescent="0.35">
      <c r="C27" t="s">
        <v>327</v>
      </c>
      <c r="D27" t="s">
        <v>36</v>
      </c>
      <c r="I27" t="s">
        <v>328</v>
      </c>
      <c r="J27" t="s">
        <v>93</v>
      </c>
      <c r="M27" t="s">
        <v>329</v>
      </c>
      <c r="N27" t="s">
        <v>81</v>
      </c>
      <c r="O27" t="s">
        <v>330</v>
      </c>
      <c r="P27" t="s">
        <v>88</v>
      </c>
      <c r="T27" t="s">
        <v>331</v>
      </c>
      <c r="U27" t="s">
        <v>322</v>
      </c>
    </row>
    <row r="28" spans="1:21" x14ac:dyDescent="0.35">
      <c r="A28" t="s">
        <v>15</v>
      </c>
      <c r="D28" t="s">
        <v>70</v>
      </c>
      <c r="E28" t="s">
        <v>53</v>
      </c>
      <c r="F28" t="s">
        <v>40</v>
      </c>
      <c r="G28" t="s">
        <v>116</v>
      </c>
      <c r="H28" t="s">
        <v>101</v>
      </c>
      <c r="J28" t="s">
        <v>53</v>
      </c>
      <c r="K28" t="s">
        <v>116</v>
      </c>
      <c r="L28" t="s">
        <v>101</v>
      </c>
      <c r="N28" t="s">
        <v>81</v>
      </c>
      <c r="P28" t="s">
        <v>53</v>
      </c>
      <c r="Q28" t="s">
        <v>40</v>
      </c>
      <c r="R28" t="s">
        <v>116</v>
      </c>
      <c r="S28" t="s">
        <v>101</v>
      </c>
    </row>
    <row r="29" spans="1:21" x14ac:dyDescent="0.35">
      <c r="B29">
        <v>0</v>
      </c>
      <c r="C29">
        <v>0</v>
      </c>
      <c r="U29">
        <v>0</v>
      </c>
    </row>
    <row r="30" spans="1:21" x14ac:dyDescent="0.35">
      <c r="A30" t="s">
        <v>58</v>
      </c>
      <c r="D30">
        <v>3</v>
      </c>
      <c r="E30">
        <v>2</v>
      </c>
      <c r="F30">
        <v>7</v>
      </c>
      <c r="I30">
        <v>12</v>
      </c>
      <c r="P30">
        <v>3</v>
      </c>
      <c r="Q30">
        <v>2</v>
      </c>
      <c r="T30">
        <v>5</v>
      </c>
      <c r="U30">
        <v>17</v>
      </c>
    </row>
    <row r="31" spans="1:21" x14ac:dyDescent="0.35">
      <c r="A31" t="s">
        <v>51</v>
      </c>
      <c r="E31">
        <v>3</v>
      </c>
      <c r="H31">
        <v>3</v>
      </c>
      <c r="I31">
        <v>6</v>
      </c>
      <c r="J31">
        <v>3</v>
      </c>
      <c r="K31">
        <v>1</v>
      </c>
      <c r="L31">
        <v>4</v>
      </c>
      <c r="M31">
        <v>8</v>
      </c>
      <c r="P31">
        <v>2</v>
      </c>
      <c r="R31">
        <v>11</v>
      </c>
      <c r="S31">
        <v>10</v>
      </c>
      <c r="T31">
        <v>23</v>
      </c>
      <c r="U31">
        <v>37</v>
      </c>
    </row>
    <row r="32" spans="1:21" x14ac:dyDescent="0.35">
      <c r="A32" t="s">
        <v>64</v>
      </c>
      <c r="D32">
        <v>1</v>
      </c>
      <c r="E32">
        <v>4</v>
      </c>
      <c r="F32">
        <v>2</v>
      </c>
      <c r="G32">
        <v>4</v>
      </c>
      <c r="H32">
        <v>2</v>
      </c>
      <c r="I32">
        <v>13</v>
      </c>
      <c r="P32">
        <v>6</v>
      </c>
      <c r="Q32">
        <v>12</v>
      </c>
      <c r="R32">
        <v>8</v>
      </c>
      <c r="S32">
        <v>2</v>
      </c>
      <c r="T32">
        <v>28</v>
      </c>
      <c r="U32">
        <v>41</v>
      </c>
    </row>
    <row r="33" spans="1:21" x14ac:dyDescent="0.35">
      <c r="A33" t="s">
        <v>81</v>
      </c>
      <c r="N33">
        <v>70</v>
      </c>
      <c r="O33">
        <v>70</v>
      </c>
      <c r="U33">
        <v>70</v>
      </c>
    </row>
    <row r="34" spans="1:21" x14ac:dyDescent="0.35">
      <c r="A34" t="s">
        <v>38</v>
      </c>
      <c r="D34">
        <v>3</v>
      </c>
      <c r="E34">
        <v>1</v>
      </c>
      <c r="F34">
        <v>2</v>
      </c>
      <c r="I34">
        <v>6</v>
      </c>
      <c r="L34">
        <v>2</v>
      </c>
      <c r="M34">
        <v>2</v>
      </c>
      <c r="U34">
        <v>8</v>
      </c>
    </row>
    <row r="35" spans="1:21" x14ac:dyDescent="0.35">
      <c r="A35" t="s">
        <v>127</v>
      </c>
      <c r="J35">
        <v>1</v>
      </c>
      <c r="K35">
        <v>10</v>
      </c>
      <c r="L35">
        <v>9</v>
      </c>
      <c r="M35">
        <v>20</v>
      </c>
      <c r="P35">
        <v>1</v>
      </c>
      <c r="R35">
        <v>2</v>
      </c>
      <c r="S35">
        <v>4</v>
      </c>
      <c r="T35">
        <v>7</v>
      </c>
      <c r="U35">
        <v>27</v>
      </c>
    </row>
    <row r="36" spans="1:21" x14ac:dyDescent="0.35">
      <c r="A36" t="s">
        <v>322</v>
      </c>
      <c r="B36">
        <v>0</v>
      </c>
      <c r="C36">
        <v>0</v>
      </c>
      <c r="D36">
        <v>7</v>
      </c>
      <c r="E36">
        <v>10</v>
      </c>
      <c r="F36">
        <v>11</v>
      </c>
      <c r="G36">
        <v>4</v>
      </c>
      <c r="H36">
        <v>5</v>
      </c>
      <c r="I36">
        <v>37</v>
      </c>
      <c r="J36">
        <v>4</v>
      </c>
      <c r="K36">
        <v>11</v>
      </c>
      <c r="L36">
        <v>15</v>
      </c>
      <c r="M36">
        <v>30</v>
      </c>
      <c r="N36">
        <v>70</v>
      </c>
      <c r="O36">
        <v>70</v>
      </c>
      <c r="P36">
        <v>12</v>
      </c>
      <c r="Q36">
        <v>14</v>
      </c>
      <c r="R36">
        <v>21</v>
      </c>
      <c r="S36">
        <v>16</v>
      </c>
      <c r="T36">
        <v>63</v>
      </c>
      <c r="U36">
        <v>200</v>
      </c>
    </row>
    <row r="41" spans="1:21" x14ac:dyDescent="0.35">
      <c r="A41" s="14" t="s">
        <v>332</v>
      </c>
      <c r="B41" s="14"/>
      <c r="C41" s="14"/>
    </row>
    <row r="42" spans="1:21" x14ac:dyDescent="0.35">
      <c r="A42" s="18" t="s">
        <v>20</v>
      </c>
      <c r="B42" t="s">
        <v>325</v>
      </c>
    </row>
    <row r="43" spans="1:21" x14ac:dyDescent="0.35">
      <c r="B43">
        <v>0</v>
      </c>
    </row>
    <row r="44" spans="1:21" x14ac:dyDescent="0.35">
      <c r="A44" t="s">
        <v>83</v>
      </c>
      <c r="B44">
        <v>10</v>
      </c>
    </row>
    <row r="45" spans="1:21" x14ac:dyDescent="0.35">
      <c r="A45" t="s">
        <v>97</v>
      </c>
      <c r="B45">
        <v>32</v>
      </c>
    </row>
    <row r="46" spans="1:21" x14ac:dyDescent="0.35">
      <c r="A46" t="s">
        <v>110</v>
      </c>
      <c r="B46">
        <v>17</v>
      </c>
    </row>
    <row r="47" spans="1:21" x14ac:dyDescent="0.35">
      <c r="A47" t="s">
        <v>147</v>
      </c>
      <c r="B47">
        <v>14</v>
      </c>
    </row>
    <row r="48" spans="1:21" x14ac:dyDescent="0.35">
      <c r="A48" t="s">
        <v>90</v>
      </c>
      <c r="B48">
        <v>36</v>
      </c>
    </row>
    <row r="49" spans="1:3" x14ac:dyDescent="0.35">
      <c r="A49" t="s">
        <v>168</v>
      </c>
      <c r="B49">
        <v>14</v>
      </c>
    </row>
    <row r="50" spans="1:3" x14ac:dyDescent="0.35">
      <c r="A50" t="s">
        <v>60</v>
      </c>
      <c r="B50">
        <v>33</v>
      </c>
    </row>
    <row r="51" spans="1:3" x14ac:dyDescent="0.35">
      <c r="A51" t="s">
        <v>41</v>
      </c>
      <c r="B51">
        <v>27</v>
      </c>
    </row>
    <row r="52" spans="1:3" x14ac:dyDescent="0.35">
      <c r="A52" t="s">
        <v>121</v>
      </c>
      <c r="B52">
        <v>17</v>
      </c>
    </row>
    <row r="53" spans="1:3" x14ac:dyDescent="0.35">
      <c r="A53" t="s">
        <v>322</v>
      </c>
      <c r="B53">
        <v>200</v>
      </c>
    </row>
    <row r="57" spans="1:3" x14ac:dyDescent="0.35">
      <c r="A57" s="14" t="s">
        <v>333</v>
      </c>
      <c r="B57" s="14"/>
      <c r="C57" s="14"/>
    </row>
    <row r="58" spans="1:3" x14ac:dyDescent="0.35">
      <c r="A58" s="18" t="s">
        <v>22</v>
      </c>
      <c r="B58" t="s">
        <v>334</v>
      </c>
    </row>
    <row r="59" spans="1:3" x14ac:dyDescent="0.35">
      <c r="B59">
        <v>0</v>
      </c>
    </row>
    <row r="60" spans="1:3" x14ac:dyDescent="0.35">
      <c r="A60" t="s">
        <v>75</v>
      </c>
      <c r="B60">
        <v>62</v>
      </c>
    </row>
    <row r="61" spans="1:3" x14ac:dyDescent="0.35">
      <c r="A61" t="s">
        <v>74</v>
      </c>
      <c r="B61">
        <v>75</v>
      </c>
    </row>
    <row r="62" spans="1:3" x14ac:dyDescent="0.35">
      <c r="A62" t="s">
        <v>32</v>
      </c>
      <c r="B62">
        <v>63</v>
      </c>
    </row>
    <row r="63" spans="1:3" x14ac:dyDescent="0.35">
      <c r="A63" t="s">
        <v>322</v>
      </c>
      <c r="B63">
        <v>200</v>
      </c>
    </row>
    <row r="68" spans="1:3" x14ac:dyDescent="0.35">
      <c r="A68" s="14" t="s">
        <v>335</v>
      </c>
      <c r="B68" s="14"/>
      <c r="C68" s="14"/>
    </row>
    <row r="69" spans="1:3" x14ac:dyDescent="0.35">
      <c r="A69" s="18" t="s">
        <v>21</v>
      </c>
      <c r="B69" t="s">
        <v>334</v>
      </c>
    </row>
    <row r="70" spans="1:3" x14ac:dyDescent="0.35">
      <c r="B70">
        <v>0</v>
      </c>
    </row>
    <row r="71" spans="1:3" x14ac:dyDescent="0.35">
      <c r="A71" t="s">
        <v>114</v>
      </c>
      <c r="B71">
        <v>24</v>
      </c>
    </row>
    <row r="72" spans="1:3" x14ac:dyDescent="0.35">
      <c r="A72" t="s">
        <v>42</v>
      </c>
      <c r="B72">
        <v>67</v>
      </c>
    </row>
    <row r="73" spans="1:3" x14ac:dyDescent="0.35">
      <c r="A73" t="s">
        <v>132</v>
      </c>
      <c r="B73">
        <v>16</v>
      </c>
    </row>
    <row r="74" spans="1:3" x14ac:dyDescent="0.35">
      <c r="A74" t="s">
        <v>98</v>
      </c>
      <c r="B74">
        <v>34</v>
      </c>
    </row>
    <row r="75" spans="1:3" x14ac:dyDescent="0.35">
      <c r="A75" t="s">
        <v>84</v>
      </c>
      <c r="B75">
        <v>59</v>
      </c>
    </row>
    <row r="76" spans="1:3" x14ac:dyDescent="0.35">
      <c r="A76" t="s">
        <v>322</v>
      </c>
      <c r="B76">
        <v>200</v>
      </c>
    </row>
    <row r="80" spans="1:3" x14ac:dyDescent="0.35">
      <c r="A80" s="14" t="s">
        <v>336</v>
      </c>
      <c r="B80" s="14"/>
      <c r="C80" s="14"/>
    </row>
    <row r="81" spans="1:2" x14ac:dyDescent="0.35">
      <c r="A81" s="18" t="s">
        <v>7</v>
      </c>
      <c r="B81" t="s">
        <v>337</v>
      </c>
    </row>
    <row r="82" spans="1:2" x14ac:dyDescent="0.35">
      <c r="B82" t="e">
        <f>#DIV/0!</f>
        <v>#DIV/0!</v>
      </c>
    </row>
    <row r="83" spans="1:2" x14ac:dyDescent="0.35">
      <c r="A83" t="s">
        <v>48</v>
      </c>
      <c r="B83">
        <v>2.57627118644068</v>
      </c>
    </row>
    <row r="84" spans="1:2" x14ac:dyDescent="0.35">
      <c r="A84" t="s">
        <v>119</v>
      </c>
      <c r="B84">
        <v>1.5714285714285701</v>
      </c>
    </row>
    <row r="85" spans="1:2" x14ac:dyDescent="0.35">
      <c r="A85" t="s">
        <v>31</v>
      </c>
      <c r="B85">
        <v>2.4594594594594601</v>
      </c>
    </row>
    <row r="86" spans="1:2" x14ac:dyDescent="0.35">
      <c r="A86" t="s">
        <v>107</v>
      </c>
      <c r="B86">
        <v>2.74074074074074</v>
      </c>
    </row>
    <row r="87" spans="1:2" x14ac:dyDescent="0.35">
      <c r="A87" t="s">
        <v>322</v>
      </c>
      <c r="B87">
        <v>2.5230769230769199</v>
      </c>
    </row>
  </sheetData>
  <mergeCells count="9">
    <mergeCell ref="A41:C41"/>
    <mergeCell ref="A57:C57"/>
    <mergeCell ref="A68:C68"/>
    <mergeCell ref="A80:C80"/>
    <mergeCell ref="A1:E1"/>
    <mergeCell ref="G3:K3"/>
    <mergeCell ref="A13:C13"/>
    <mergeCell ref="G15:K15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4638"/>
    <pageSetUpPr fitToPage="1"/>
  </sheetPr>
  <dimension ref="B1:AI104"/>
  <sheetViews>
    <sheetView showGridLines="0" topLeftCell="A106" zoomScale="90" zoomScaleNormal="90" workbookViewId="0">
      <selection activeCell="B9" sqref="B9:Y9"/>
    </sheetView>
  </sheetViews>
  <sheetFormatPr defaultColWidth="14.453125" defaultRowHeight="14.5" x14ac:dyDescent="0.35"/>
  <cols>
    <col min="1" max="1" width="2" customWidth="1"/>
    <col min="2" max="12" width="7.26953125" customWidth="1"/>
    <col min="13" max="13" width="12.81640625" customWidth="1"/>
    <col min="14" max="25" width="7.26953125" customWidth="1"/>
    <col min="26" max="27" width="3" customWidth="1"/>
    <col min="28" max="28" width="36" customWidth="1"/>
    <col min="29" max="36" width="14" customWidth="1"/>
  </cols>
  <sheetData>
    <row r="1" spans="2:31" ht="33.75" customHeight="1" x14ac:dyDescent="0.35">
      <c r="B1" s="12" t="s">
        <v>338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AB1" s="20" t="s">
        <v>339</v>
      </c>
    </row>
    <row r="2" spans="2:31" ht="19.5" customHeight="1" x14ac:dyDescent="0.35">
      <c r="B2" s="11" t="s">
        <v>340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AB2" s="21" t="s">
        <v>341</v>
      </c>
      <c r="AC2" s="22"/>
      <c r="AD2" s="22"/>
      <c r="AE2" s="22"/>
    </row>
    <row r="3" spans="2:31" x14ac:dyDescent="0.35">
      <c r="AB3" s="23"/>
      <c r="AC3" s="24" t="s">
        <v>34</v>
      </c>
      <c r="AD3" s="24" t="s">
        <v>80</v>
      </c>
      <c r="AE3" s="24" t="s">
        <v>342</v>
      </c>
    </row>
    <row r="4" spans="2:31" ht="18" customHeight="1" x14ac:dyDescent="0.35">
      <c r="B4" s="10" t="s">
        <v>343</v>
      </c>
      <c r="C4" s="10"/>
      <c r="D4" s="10"/>
      <c r="E4" s="10"/>
      <c r="F4" s="10" t="s">
        <v>344</v>
      </c>
      <c r="G4" s="10"/>
      <c r="H4" s="10"/>
      <c r="I4" s="10"/>
      <c r="J4" s="10" t="s">
        <v>345</v>
      </c>
      <c r="K4" s="10"/>
      <c r="L4" s="10"/>
      <c r="M4" s="10"/>
      <c r="N4" s="10" t="s">
        <v>346</v>
      </c>
      <c r="O4" s="10"/>
      <c r="P4" s="10"/>
      <c r="Q4" s="10"/>
      <c r="R4" s="10" t="s">
        <v>347</v>
      </c>
      <c r="S4" s="10"/>
      <c r="T4" s="10"/>
      <c r="U4" s="10"/>
      <c r="V4" s="10" t="s">
        <v>348</v>
      </c>
      <c r="W4" s="10"/>
      <c r="X4" s="10"/>
      <c r="Y4" s="10"/>
      <c r="AB4" s="25" t="s">
        <v>315</v>
      </c>
      <c r="AC4" s="25">
        <f>COUNTIFS('Clean Data'!$C$2:$C$1000,$AB4,'Clean Data'!$K$2:$K$1000,"Attended")</f>
        <v>49</v>
      </c>
      <c r="AD4" s="25">
        <f>COUNTIFS('Clean Data'!$C$2:$C$1000,$AB4,'Clean Data'!$K$2:$K$1000,"Did not attend")</f>
        <v>23</v>
      </c>
      <c r="AE4" s="26">
        <f>IFERROR(AC4/(AC4+AD4),0)</f>
        <v>0.68055555555555558</v>
      </c>
    </row>
    <row r="5" spans="2:31" x14ac:dyDescent="0.35">
      <c r="B5" s="9">
        <f>COUNTA('Clean Data'!$A$2:$A$1000)</f>
        <v>200</v>
      </c>
      <c r="C5" s="9"/>
      <c r="D5" s="9"/>
      <c r="E5" s="9"/>
      <c r="F5" s="8">
        <f>COUNTIFS('Clean Data'!$K$2:$K$1000,"Attended")/COUNTA('Clean Data'!$A$2:$A$1000)</f>
        <v>0.65</v>
      </c>
      <c r="G5" s="8"/>
      <c r="H5" s="8"/>
      <c r="I5" s="8"/>
      <c r="J5" s="7">
        <f>COUNTIFS('Clean Data'!$N$2:$N$1000,"Clear")/COUNTIFS('Clean Data'!$K$2:$K$1000,"Attended")</f>
        <v>0.2846153846153846</v>
      </c>
      <c r="K5" s="7"/>
      <c r="L5" s="7"/>
      <c r="M5" s="7"/>
      <c r="N5" s="7">
        <f>(COUNTIFS('Clean Data'!$P$2:$P$1000,"High")+COUNTIFS('Clean Data'!$P$2:$P$1000,"Very high"))/COUNTIFS('Clean Data'!$K$2:$K$1000,"Attended")</f>
        <v>0.19230769230769232</v>
      </c>
      <c r="O5" s="7"/>
      <c r="P5" s="7"/>
      <c r="Q5" s="7"/>
      <c r="R5" s="6">
        <f>AVERAGE('Clean Data'!$T$2:$T$1000)</f>
        <v>2.523076923076923</v>
      </c>
      <c r="S5" s="6"/>
      <c r="T5" s="6"/>
      <c r="U5" s="6"/>
      <c r="V5" s="5">
        <f>COUNTIFS('Clean Data'!$W$2:$W$1000,"Yes")/COUNTA('Clean Data'!$A$2:$A$1000)</f>
        <v>0.315</v>
      </c>
      <c r="W5" s="5"/>
      <c r="X5" s="5"/>
      <c r="Y5" s="5"/>
      <c r="AB5" s="25" t="s">
        <v>319</v>
      </c>
      <c r="AC5" s="25">
        <f>COUNTIFS('Clean Data'!$C$2:$C$1000,$AB5,'Clean Data'!$K$2:$K$1000,"Attended")</f>
        <v>15</v>
      </c>
      <c r="AD5" s="25">
        <f>COUNTIFS('Clean Data'!$C$2:$C$1000,$AB5,'Clean Data'!$K$2:$K$1000,"Did not attend")</f>
        <v>7</v>
      </c>
      <c r="AE5" s="26">
        <f>IFERROR(AC5/(AC5+AD5),0)</f>
        <v>0.68181818181818177</v>
      </c>
    </row>
    <row r="6" spans="2:31" x14ac:dyDescent="0.35">
      <c r="B6" s="9"/>
      <c r="C6" s="9"/>
      <c r="D6" s="9"/>
      <c r="E6" s="9"/>
      <c r="F6" s="8"/>
      <c r="G6" s="8"/>
      <c r="H6" s="8"/>
      <c r="I6" s="8"/>
      <c r="J6" s="7"/>
      <c r="K6" s="7"/>
      <c r="L6" s="7"/>
      <c r="M6" s="7"/>
      <c r="N6" s="7"/>
      <c r="O6" s="7"/>
      <c r="P6" s="7"/>
      <c r="Q6" s="7"/>
      <c r="R6" s="6"/>
      <c r="S6" s="6"/>
      <c r="T6" s="6"/>
      <c r="U6" s="6"/>
      <c r="V6" s="5"/>
      <c r="W6" s="5"/>
      <c r="X6" s="5"/>
      <c r="Y6" s="5"/>
      <c r="AB6" s="25" t="s">
        <v>317</v>
      </c>
      <c r="AC6" s="25">
        <f>COUNTIFS('Clean Data'!$C$2:$C$1000,$AB6,'Clean Data'!$K$2:$K$1000,"Attended")</f>
        <v>21</v>
      </c>
      <c r="AD6" s="25">
        <f>COUNTIFS('Clean Data'!$C$2:$C$1000,$AB6,'Clean Data'!$K$2:$K$1000,"Did not attend")</f>
        <v>13</v>
      </c>
      <c r="AE6" s="26">
        <f>IFERROR(AC6/(AC6+AD6),0)</f>
        <v>0.61764705882352944</v>
      </c>
    </row>
    <row r="7" spans="2:31" ht="18" customHeight="1" x14ac:dyDescent="0.35">
      <c r="B7" s="4" t="str">
        <f>COUNTIFS('Clean Data'!$I$2:$I$1000,"No")&amp;" never heard of the outreach"</f>
        <v>32 never heard of the outreach</v>
      </c>
      <c r="C7" s="4"/>
      <c r="D7" s="4"/>
      <c r="E7" s="4"/>
      <c r="F7" s="4" t="str">
        <f>COUNTIFS('Clean Data'!$K$2:$K$1000,"Attended")&amp;" of "&amp;COUNTA('Clean Data'!$A$2:$A$1000)&amp;" attended"</f>
        <v>130 of 200 attended</v>
      </c>
      <c r="G7" s="4"/>
      <c r="H7" s="4"/>
      <c r="I7" s="4"/>
      <c r="J7" s="4" t="str">
        <f>COUNTIFS('Clean Data'!$N$2:$N$1000,"Clear")&amp;" of "&amp;COUNTIFS('Clean Data'!$K$2:$K$1000,"Attended")&amp;" attendees"</f>
        <v>37 of 130 attendees</v>
      </c>
      <c r="K7" s="4"/>
      <c r="L7" s="4"/>
      <c r="M7" s="4"/>
      <c r="N7" s="4" t="str">
        <f>(COUNTIFS('Clean Data'!$P$2:$P$1000,"High")+COUNTIFS('Clean Data'!$P$2:$P$1000,"Very high"))&amp;" of "&amp;COUNTIFS('Clean Data'!$K$2:$K$1000,"Attended")&amp;" attendees"</f>
        <v>25 of 130 attendees</v>
      </c>
      <c r="O7" s="4"/>
      <c r="P7" s="4"/>
      <c r="Q7" s="4"/>
      <c r="R7" s="4" t="str">
        <f>"out of 5 (attendees)"</f>
        <v>out of 5 (attendees)</v>
      </c>
      <c r="S7" s="4"/>
      <c r="T7" s="4"/>
      <c r="U7" s="4"/>
      <c r="V7" s="4" t="str">
        <f>COUNTIFS('Clean Data'!$W$2:$W$1000,"Yes")&amp;" yes · "&amp;COUNTIFS('Clean Data'!$W$2:$W$1000,"Maybe")&amp;" maybe · "&amp;COUNTIFS('Clean Data'!$W$2:$W$1000,"No")&amp;" no"</f>
        <v>63 yes · 62 maybe · 75 no</v>
      </c>
      <c r="W7" s="4"/>
      <c r="X7" s="4"/>
      <c r="Y7" s="4"/>
      <c r="AB7" s="25" t="s">
        <v>316</v>
      </c>
      <c r="AC7" s="25">
        <f>COUNTIFS('Clean Data'!$C$2:$C$1000,$AB7,'Clean Data'!$K$2:$K$1000,"Attended")</f>
        <v>25</v>
      </c>
      <c r="AD7" s="25">
        <f>COUNTIFS('Clean Data'!$C$2:$C$1000,$AB7,'Clean Data'!$K$2:$K$1000,"Did not attend")</f>
        <v>13</v>
      </c>
      <c r="AE7" s="26">
        <f>IFERROR(AC7/(AC7+AD7),0)</f>
        <v>0.65789473684210531</v>
      </c>
    </row>
    <row r="8" spans="2:31" x14ac:dyDescent="0.35">
      <c r="AB8" s="25" t="s">
        <v>63</v>
      </c>
      <c r="AC8" s="25">
        <f>COUNTIFS('Clean Data'!$C$2:$C$1000,$AB8,'Clean Data'!$K$2:$K$1000,"Attended")</f>
        <v>20</v>
      </c>
      <c r="AD8" s="25">
        <f>COUNTIFS('Clean Data'!$C$2:$C$1000,$AB8,'Clean Data'!$K$2:$K$1000,"Did not attend")</f>
        <v>14</v>
      </c>
      <c r="AE8" s="26">
        <f>IFERROR(AC8/(AC8+AD8),0)</f>
        <v>0.58823529411764708</v>
      </c>
    </row>
    <row r="9" spans="2:31" ht="21.75" customHeight="1" x14ac:dyDescent="0.35">
      <c r="B9" s="3" t="s">
        <v>349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2:31" x14ac:dyDescent="0.35">
      <c r="B10" s="2" t="s">
        <v>341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">
        <v>350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AB10" s="21" t="s">
        <v>351</v>
      </c>
      <c r="AC10" s="22"/>
      <c r="AD10" s="22"/>
      <c r="AE10" s="22"/>
    </row>
    <row r="11" spans="2:31" ht="27.75" customHeight="1" x14ac:dyDescent="0.35">
      <c r="B11" s="1" t="str">
        <f>"Highest attendance: "&amp;INDEX($AB$4:$AB$8,MATCH(MAX($AE$4:$AE$8),$AE$4:$AE$8,0))&amp;" ("&amp;TEXT(MAX($AE$4:$AE$8),"0%")&amp;"); lowest: "&amp;INDEX($AB$4:$AB$8,MATCH(MIN($AE$4:$AE$8),$AE$4:$AE$8,0))&amp;" ("&amp;TEXT(MIN($AE$4:$AE$8),"0%")&amp;")"</f>
        <v>Highest attendance: 20 - 29 (68%); lowest: 50+ (59%)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tr">
        <f>"Highest attendance: "&amp;INDEX($AB$12:$AB$15,MATCH(MAX($AE$12:$AE$15),$AE$12:$AE$15,0))&amp;" ("&amp;TEXT(MAX($AE$12:$AE$15),"0%")&amp;"); lowest: "&amp;INDEX($AB$12:$AB$15,MATCH(MIN($AE$12:$AE$15),$AE$12:$AE$15,0))&amp;" ("&amp;TEXT(MIN($AE$12:$AE$15),"0%")&amp;")"</f>
        <v>Highest attendance: Girl (71%); lowest: Adult woman (61%)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AB11" s="23"/>
      <c r="AC11" s="24" t="s">
        <v>34</v>
      </c>
      <c r="AD11" s="24" t="s">
        <v>80</v>
      </c>
      <c r="AE11" s="24" t="s">
        <v>342</v>
      </c>
    </row>
    <row r="12" spans="2:31" x14ac:dyDescent="0.35">
      <c r="AB12" s="25" t="s">
        <v>48</v>
      </c>
      <c r="AC12" s="25">
        <f>COUNTIFS('Clean Data'!$H$2:$H$1000,$AB12,'Clean Data'!$K$2:$K$1000,"Attended")</f>
        <v>59</v>
      </c>
      <c r="AD12" s="25">
        <f>COUNTIFS('Clean Data'!$H$2:$H$1000,$AB12,'Clean Data'!$K$2:$K$1000,"Did not attend")</f>
        <v>37</v>
      </c>
      <c r="AE12" s="26">
        <f>IFERROR(AC12/(AC12+AD12),0)</f>
        <v>0.61458333333333337</v>
      </c>
    </row>
    <row r="13" spans="2:31" x14ac:dyDescent="0.35">
      <c r="AB13" s="25" t="s">
        <v>107</v>
      </c>
      <c r="AC13" s="25">
        <f>COUNTIFS('Clean Data'!$H$2:$H$1000,$AB13,'Clean Data'!$K$2:$K$1000,"Attended")</f>
        <v>27</v>
      </c>
      <c r="AD13" s="25">
        <f>COUNTIFS('Clean Data'!$H$2:$H$1000,$AB13,'Clean Data'!$K$2:$K$1000,"Did not attend")</f>
        <v>15</v>
      </c>
      <c r="AE13" s="26">
        <f>IFERROR(AC13/(AC13+AD13),0)</f>
        <v>0.6428571428571429</v>
      </c>
    </row>
    <row r="14" spans="2:31" x14ac:dyDescent="0.35">
      <c r="AB14" s="25" t="s">
        <v>31</v>
      </c>
      <c r="AC14" s="25">
        <f>COUNTIFS('Clean Data'!$H$2:$H$1000,$AB14,'Clean Data'!$K$2:$K$1000,"Attended")</f>
        <v>37</v>
      </c>
      <c r="AD14" s="25">
        <f>COUNTIFS('Clean Data'!$H$2:$H$1000,$AB14,'Clean Data'!$K$2:$K$1000,"Did not attend")</f>
        <v>15</v>
      </c>
      <c r="AE14" s="26">
        <f>IFERROR(AC14/(AC14+AD14),0)</f>
        <v>0.71153846153846156</v>
      </c>
    </row>
    <row r="15" spans="2:31" x14ac:dyDescent="0.35">
      <c r="AB15" s="25" t="s">
        <v>119</v>
      </c>
      <c r="AC15" s="25">
        <f>COUNTIFS('Clean Data'!$H$2:$H$1000,$AB15,'Clean Data'!$K$2:$K$1000,"Attended")</f>
        <v>7</v>
      </c>
      <c r="AD15" s="25">
        <f>COUNTIFS('Clean Data'!$H$2:$H$1000,$AB15,'Clean Data'!$K$2:$K$1000,"Did not attend")</f>
        <v>3</v>
      </c>
      <c r="AE15" s="26">
        <f>IFERROR(AC15/(AC15+AD15),0)</f>
        <v>0.7</v>
      </c>
    </row>
    <row r="17" spans="2:35" x14ac:dyDescent="0.35">
      <c r="AB17" s="21" t="s">
        <v>352</v>
      </c>
      <c r="AC17" s="22"/>
      <c r="AD17" s="22"/>
      <c r="AE17" s="22"/>
      <c r="AF17" s="22"/>
      <c r="AG17" s="22"/>
    </row>
    <row r="18" spans="2:35" x14ac:dyDescent="0.35">
      <c r="AB18" s="23"/>
      <c r="AC18" s="24" t="s">
        <v>36</v>
      </c>
      <c r="AD18" s="24" t="s">
        <v>88</v>
      </c>
      <c r="AE18" s="24" t="s">
        <v>93</v>
      </c>
      <c r="AF18" s="24" t="s">
        <v>353</v>
      </c>
      <c r="AG18" s="24" t="s">
        <v>354</v>
      </c>
    </row>
    <row r="19" spans="2:35" x14ac:dyDescent="0.35">
      <c r="AB19" s="25" t="s">
        <v>87</v>
      </c>
      <c r="AC19" s="25">
        <f>COUNTIFS('Clean Data'!$G$2:$G$1000,$AB19,'Clean Data'!$N$2:$N$1000,"Clear")</f>
        <v>0</v>
      </c>
      <c r="AD19" s="25">
        <f>COUNTIFS('Clean Data'!$G$2:$G$1000,$AB19,'Clean Data'!$N$2:$N$1000,"Partial")</f>
        <v>24</v>
      </c>
      <c r="AE19" s="25">
        <f>COUNTIFS('Clean Data'!$G$2:$G$1000,$AB19,'Clean Data'!$N$2:$N$1000,"Limited")</f>
        <v>25</v>
      </c>
      <c r="AF19" s="25">
        <f>SUM(AC19:AE19)</f>
        <v>49</v>
      </c>
      <c r="AG19" s="26">
        <f>IFERROR(AC19/AF19,0)</f>
        <v>0</v>
      </c>
    </row>
    <row r="20" spans="2:35" x14ac:dyDescent="0.35">
      <c r="AB20" s="25" t="s">
        <v>30</v>
      </c>
      <c r="AC20" s="25">
        <f>COUNTIFS('Clean Data'!$G$2:$G$1000,$AB20,'Clean Data'!$N$2:$N$1000,"Clear")</f>
        <v>8</v>
      </c>
      <c r="AD20" s="25">
        <f>COUNTIFS('Clean Data'!$G$2:$G$1000,$AB20,'Clean Data'!$N$2:$N$1000,"Partial")</f>
        <v>32</v>
      </c>
      <c r="AE20" s="25">
        <f>COUNTIFS('Clean Data'!$G$2:$G$1000,$AB20,'Clean Data'!$N$2:$N$1000,"Limited")</f>
        <v>5</v>
      </c>
      <c r="AF20" s="25">
        <f>SUM(AC20:AE20)</f>
        <v>45</v>
      </c>
      <c r="AG20" s="26">
        <f>IFERROR(AC20/AF20,0)</f>
        <v>0.17777777777777778</v>
      </c>
    </row>
    <row r="21" spans="2:35" x14ac:dyDescent="0.35">
      <c r="AB21" s="25" t="s">
        <v>47</v>
      </c>
      <c r="AC21" s="25">
        <f>COUNTIFS('Clean Data'!$G$2:$G$1000,$AB21,'Clean Data'!$N$2:$N$1000,"Clear")</f>
        <v>16</v>
      </c>
      <c r="AD21" s="25">
        <f>COUNTIFS('Clean Data'!$G$2:$G$1000,$AB21,'Clean Data'!$N$2:$N$1000,"Partial")</f>
        <v>6</v>
      </c>
      <c r="AE21" s="25">
        <f>COUNTIFS('Clean Data'!$G$2:$G$1000,$AB21,'Clean Data'!$N$2:$N$1000,"Limited")</f>
        <v>0</v>
      </c>
      <c r="AF21" s="25">
        <f>SUM(AC21:AE21)</f>
        <v>22</v>
      </c>
      <c r="AG21" s="26">
        <f>IFERROR(AC21/AF21,0)</f>
        <v>0.72727272727272729</v>
      </c>
    </row>
    <row r="22" spans="2:35" x14ac:dyDescent="0.35">
      <c r="AB22" s="25" t="s">
        <v>72</v>
      </c>
      <c r="AC22" s="25">
        <f>COUNTIFS('Clean Data'!$G$2:$G$1000,$AB22,'Clean Data'!$N$2:$N$1000,"Clear")</f>
        <v>13</v>
      </c>
      <c r="AD22" s="25">
        <f>COUNTIFS('Clean Data'!$G$2:$G$1000,$AB22,'Clean Data'!$N$2:$N$1000,"Partial")</f>
        <v>1</v>
      </c>
      <c r="AE22" s="25">
        <f>COUNTIFS('Clean Data'!$G$2:$G$1000,$AB22,'Clean Data'!$N$2:$N$1000,"Limited")</f>
        <v>0</v>
      </c>
      <c r="AF22" s="25">
        <f>SUM(AC22:AE22)</f>
        <v>14</v>
      </c>
      <c r="AG22" s="26">
        <f>IFERROR(AC22/AF22,0)</f>
        <v>0.9285714285714286</v>
      </c>
    </row>
    <row r="24" spans="2:35" x14ac:dyDescent="0.35">
      <c r="AB24" s="21" t="s">
        <v>355</v>
      </c>
      <c r="AC24" s="22"/>
      <c r="AD24" s="22"/>
    </row>
    <row r="25" spans="2:35" x14ac:dyDescent="0.35">
      <c r="AB25" s="23"/>
      <c r="AC25" s="24" t="s">
        <v>353</v>
      </c>
      <c r="AD25" s="24" t="s">
        <v>356</v>
      </c>
    </row>
    <row r="26" spans="2:35" ht="21.75" customHeight="1" x14ac:dyDescent="0.35">
      <c r="B26" s="3" t="s">
        <v>357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B26" s="25" t="s">
        <v>358</v>
      </c>
      <c r="AC26" s="25">
        <f>COUNTIFS('Clean Data'!$O$2:$O$1000,"Women*health, education and support*",'Clean Data'!$K$2:$K$1000,"Attended")</f>
        <v>37</v>
      </c>
      <c r="AD26" s="26">
        <f>IFERROR(AC26/COUNTIFS('Clean Data'!$K$2:$K$1000,"Attended"),0)</f>
        <v>0.2846153846153846</v>
      </c>
    </row>
    <row r="27" spans="2:35" x14ac:dyDescent="0.35">
      <c r="B27" s="2" t="s">
        <v>359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360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B27" s="25" t="s">
        <v>361</v>
      </c>
      <c r="AC27" s="25">
        <f>COUNTIFS('Clean Data'!$O$2:$O$1000,"Women*health and education",'Clean Data'!$K$2:$K$1000,"Attended")</f>
        <v>37</v>
      </c>
      <c r="AD27" s="26">
        <f>IFERROR(AC27/COUNTIFS('Clean Data'!$K$2:$K$1000,"Attended"),0)</f>
        <v>0.2846153846153846</v>
      </c>
    </row>
    <row r="28" spans="2:35" ht="27.75" customHeight="1" x14ac:dyDescent="0.35">
      <c r="B28" s="1" t="str">
        <f>"Clear understanding: "&amp;TEXT($AG$19,"0%")&amp;" of those with no English vs "&amp;TEXT($AG$22,"0%")&amp;" of fluent speakers"</f>
        <v>Clear understanding: 0% of those with no English vs 93% of fluent speakers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tr">
        <f>"Only "&amp;TEXT($AD$26,"0%")&amp;" named the purpose fully; "&amp;TEXT($AD$30,"0%")&amp;" suspected outside influence and "&amp;TEXT($AD$29,"0%")&amp;" were unsure why they were invited"</f>
        <v>Only 28% named the purpose fully; 28% suspected outside influence and 12% were unsure why they were invited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B28" s="25" t="s">
        <v>126</v>
      </c>
      <c r="AC28" s="25">
        <f>COUNTIFS('Clean Data'!$O$2:$O$1000,"Health talk only",'Clean Data'!$K$2:$K$1000,"Attended")</f>
        <v>3</v>
      </c>
      <c r="AD28" s="26">
        <f>IFERROR(AC28/COUNTIFS('Clean Data'!$K$2:$K$1000,"Attended"),0)</f>
        <v>2.3076923076923078E-2</v>
      </c>
    </row>
    <row r="29" spans="2:35" x14ac:dyDescent="0.35">
      <c r="AB29" s="25" t="s">
        <v>362</v>
      </c>
      <c r="AC29" s="25">
        <f>COUNTIFS('Clean Data'!$O$2:$O$1000,"Unsure why*",'Clean Data'!$K$2:$K$1000,"Attended")</f>
        <v>16</v>
      </c>
      <c r="AD29" s="26">
        <f>IFERROR(AC29/COUNTIFS('Clean Data'!$K$2:$K$1000,"Attended"),0)</f>
        <v>0.12307692307692308</v>
      </c>
    </row>
    <row r="30" spans="2:35" x14ac:dyDescent="0.35">
      <c r="AB30" s="25" t="s">
        <v>89</v>
      </c>
      <c r="AC30" s="25">
        <f>COUNTIFS('Clean Data'!$O$2:$O$1000,"Unclear; possibly external*",'Clean Data'!$K$2:$K$1000,"Attended")</f>
        <v>37</v>
      </c>
      <c r="AD30" s="26">
        <f>IFERROR(AC30/COUNTIFS('Clean Data'!$K$2:$K$1000,"Attended"),0)</f>
        <v>0.2846153846153846</v>
      </c>
    </row>
    <row r="32" spans="2:35" x14ac:dyDescent="0.35">
      <c r="AB32" s="21" t="s">
        <v>363</v>
      </c>
      <c r="AC32" s="22"/>
      <c r="AD32" s="22"/>
      <c r="AE32" s="22"/>
      <c r="AF32" s="22"/>
      <c r="AG32" s="22"/>
      <c r="AH32" s="22"/>
      <c r="AI32" s="22"/>
    </row>
    <row r="33" spans="2:35" x14ac:dyDescent="0.35">
      <c r="AB33" s="23"/>
      <c r="AC33" s="24" t="s">
        <v>38</v>
      </c>
      <c r="AD33" s="24" t="s">
        <v>58</v>
      </c>
      <c r="AE33" s="24" t="s">
        <v>64</v>
      </c>
      <c r="AF33" s="24" t="s">
        <v>51</v>
      </c>
      <c r="AG33" s="24" t="s">
        <v>127</v>
      </c>
      <c r="AH33" s="24" t="s">
        <v>353</v>
      </c>
      <c r="AI33" s="24" t="s">
        <v>364</v>
      </c>
    </row>
    <row r="34" spans="2:35" x14ac:dyDescent="0.35">
      <c r="AB34" s="25" t="s">
        <v>36</v>
      </c>
      <c r="AC34" s="25">
        <f>COUNTIFS('Clean Data'!$N$2:$N$1000,$AB34,'Clean Data'!$P$2:$P$1000,"Very high")</f>
        <v>6</v>
      </c>
      <c r="AD34" s="25">
        <f>COUNTIFS('Clean Data'!$N$2:$N$1000,$AB34,'Clean Data'!$P$2:$P$1000,"High")</f>
        <v>12</v>
      </c>
      <c r="AE34" s="25">
        <f>COUNTIFS('Clean Data'!$N$2:$N$1000,$AB34,'Clean Data'!$P$2:$P$1000,"Moderate")</f>
        <v>13</v>
      </c>
      <c r="AF34" s="25">
        <f>COUNTIFS('Clean Data'!$N$2:$N$1000,$AB34,'Clean Data'!$P$2:$P$1000,"Low")</f>
        <v>6</v>
      </c>
      <c r="AG34" s="25">
        <f>COUNTIFS('Clean Data'!$N$2:$N$1000,$AB34,'Clean Data'!$P$2:$P$1000,"Very low")</f>
        <v>0</v>
      </c>
      <c r="AH34" s="25">
        <f>SUM(AC34:AG34)</f>
        <v>37</v>
      </c>
      <c r="AI34" s="26">
        <f>IFERROR((AC34+AD34)/AH34,0)</f>
        <v>0.48648648648648651</v>
      </c>
    </row>
    <row r="35" spans="2:35" x14ac:dyDescent="0.35">
      <c r="AB35" s="25" t="s">
        <v>88</v>
      </c>
      <c r="AC35" s="25">
        <f>COUNTIFS('Clean Data'!$N$2:$N$1000,$AB35,'Clean Data'!$P$2:$P$1000,"Very high")</f>
        <v>0</v>
      </c>
      <c r="AD35" s="25">
        <f>COUNTIFS('Clean Data'!$N$2:$N$1000,$AB35,'Clean Data'!$P$2:$P$1000,"High")</f>
        <v>5</v>
      </c>
      <c r="AE35" s="25">
        <f>COUNTIFS('Clean Data'!$N$2:$N$1000,$AB35,'Clean Data'!$P$2:$P$1000,"Moderate")</f>
        <v>28</v>
      </c>
      <c r="AF35" s="25">
        <f>COUNTIFS('Clean Data'!$N$2:$N$1000,$AB35,'Clean Data'!$P$2:$P$1000,"Low")</f>
        <v>23</v>
      </c>
      <c r="AG35" s="25">
        <f>COUNTIFS('Clean Data'!$N$2:$N$1000,$AB35,'Clean Data'!$P$2:$P$1000,"Very low")</f>
        <v>7</v>
      </c>
      <c r="AH35" s="25">
        <f>SUM(AC35:AG35)</f>
        <v>63</v>
      </c>
      <c r="AI35" s="26">
        <f>IFERROR((AC35+AD35)/AH35,0)</f>
        <v>7.9365079365079361E-2</v>
      </c>
    </row>
    <row r="36" spans="2:35" x14ac:dyDescent="0.35">
      <c r="AB36" s="25" t="s">
        <v>93</v>
      </c>
      <c r="AC36" s="25">
        <f>COUNTIFS('Clean Data'!$N$2:$N$1000,$AB36,'Clean Data'!$P$2:$P$1000,"Very high")</f>
        <v>2</v>
      </c>
      <c r="AD36" s="25">
        <f>COUNTIFS('Clean Data'!$N$2:$N$1000,$AB36,'Clean Data'!$P$2:$P$1000,"High")</f>
        <v>0</v>
      </c>
      <c r="AE36" s="25">
        <f>COUNTIFS('Clean Data'!$N$2:$N$1000,$AB36,'Clean Data'!$P$2:$P$1000,"Moderate")</f>
        <v>0</v>
      </c>
      <c r="AF36" s="25">
        <f>COUNTIFS('Clean Data'!$N$2:$N$1000,$AB36,'Clean Data'!$P$2:$P$1000,"Low")</f>
        <v>8</v>
      </c>
      <c r="AG36" s="25">
        <f>COUNTIFS('Clean Data'!$N$2:$N$1000,$AB36,'Clean Data'!$P$2:$P$1000,"Very low")</f>
        <v>20</v>
      </c>
      <c r="AH36" s="25">
        <f>SUM(AC36:AG36)</f>
        <v>30</v>
      </c>
      <c r="AI36" s="26">
        <f>IFERROR((AC36+AD36)/AH36,0)</f>
        <v>6.6666666666666666E-2</v>
      </c>
    </row>
    <row r="38" spans="2:35" x14ac:dyDescent="0.35">
      <c r="AB38" s="21" t="s">
        <v>365</v>
      </c>
      <c r="AC38" s="22"/>
      <c r="AD38" s="22"/>
      <c r="AE38" s="22"/>
      <c r="AF38" s="22"/>
      <c r="AG38" s="22"/>
      <c r="AH38" s="22"/>
    </row>
    <row r="39" spans="2:35" ht="24.5" x14ac:dyDescent="0.35">
      <c r="AB39" s="23"/>
      <c r="AC39" s="24" t="s">
        <v>366</v>
      </c>
      <c r="AD39" s="24" t="s">
        <v>53</v>
      </c>
      <c r="AE39" s="24" t="s">
        <v>116</v>
      </c>
      <c r="AF39" s="24" t="s">
        <v>101</v>
      </c>
      <c r="AG39" s="24" t="s">
        <v>353</v>
      </c>
      <c r="AH39" s="24" t="s">
        <v>367</v>
      </c>
    </row>
    <row r="40" spans="2:35" x14ac:dyDescent="0.35">
      <c r="AB40" s="25" t="s">
        <v>368</v>
      </c>
      <c r="AC40" s="25">
        <f>COUNTIFS('Clean Data'!$P$2:$P$1000,"High",'Clean Data'!$R$2:$R$1000,"Actively engaged")+COUNTIFS('Clean Data'!$P$2:$P$1000,"High",'Clean Data'!$R$2:$R$1000,"Contributed to discussion")+COUNTIFS('Clean Data'!$P$2:$P$1000,"Very high",'Clean Data'!$R$2:$R$1000,"Actively engaged")+COUNTIFS('Clean Data'!$P$2:$P$1000,"Very high",'Clean Data'!$R$2:$R$1000,"Contributed to discussion")</f>
        <v>17</v>
      </c>
      <c r="AD40" s="25">
        <f>COUNTIFS('Clean Data'!$P$2:$P$1000,"High",'Clean Data'!$R$2:$R$1000,"Asked one question")+COUNTIFS('Clean Data'!$P$2:$P$1000,"Very high",'Clean Data'!$R$2:$R$1000,"Asked one question")</f>
        <v>6</v>
      </c>
      <c r="AE40" s="25">
        <f>COUNTIFS('Clean Data'!$P$2:$P$1000,"High",'Clean Data'!$R$2:$R$1000,"Listened quietly")+COUNTIFS('Clean Data'!$P$2:$P$1000,"Very high",'Clean Data'!$R$2:$R$1000,"Listened quietly")</f>
        <v>0</v>
      </c>
      <c r="AF40" s="25">
        <f>COUNTIFS('Clean Data'!$P$2:$P$1000,"High",'Clean Data'!$R$2:$R$1000,"Observed only")+COUNTIFS('Clean Data'!$P$2:$P$1000,"Very high",'Clean Data'!$R$2:$R$1000,"Observed only")</f>
        <v>2</v>
      </c>
      <c r="AG40" s="25">
        <f>SUM(AC40:AF40)</f>
        <v>25</v>
      </c>
      <c r="AH40" s="26">
        <f>IFERROR(AC40/AG40,0)</f>
        <v>0.68</v>
      </c>
    </row>
    <row r="41" spans="2:35" x14ac:dyDescent="0.35">
      <c r="AB41" s="25" t="s">
        <v>369</v>
      </c>
      <c r="AC41" s="25">
        <f>COUNTIFS('Clean Data'!$P$2:$P$1000,"Moderate",'Clean Data'!$R$2:$R$1000,"Actively engaged")+COUNTIFS('Clean Data'!$P$2:$P$1000,"Moderate",'Clean Data'!$R$2:$R$1000,"Contributed to discussion")</f>
        <v>15</v>
      </c>
      <c r="AD41" s="25">
        <f>COUNTIFS('Clean Data'!$P$2:$P$1000,"Moderate",'Clean Data'!$R$2:$R$1000,"Asked one question")</f>
        <v>10</v>
      </c>
      <c r="AE41" s="25">
        <f>COUNTIFS('Clean Data'!$P$2:$P$1000,"Moderate",'Clean Data'!$R$2:$R$1000,"Listened quietly")</f>
        <v>12</v>
      </c>
      <c r="AF41" s="25">
        <f>COUNTIFS('Clean Data'!$P$2:$P$1000,"Moderate",'Clean Data'!$R$2:$R$1000,"Observed only")</f>
        <v>4</v>
      </c>
      <c r="AG41" s="25">
        <f>SUM(AC41:AF41)</f>
        <v>41</v>
      </c>
      <c r="AH41" s="26">
        <f>IFERROR(AC41/AG41,0)</f>
        <v>0.36585365853658536</v>
      </c>
    </row>
    <row r="42" spans="2:35" x14ac:dyDescent="0.35">
      <c r="AB42" s="25" t="s">
        <v>370</v>
      </c>
      <c r="AC42" s="25">
        <f>COUNTIFS('Clean Data'!$P$2:$P$1000,"Low",'Clean Data'!$R$2:$R$1000,"Actively engaged")+COUNTIFS('Clean Data'!$P$2:$P$1000,"Low",'Clean Data'!$R$2:$R$1000,"Contributed to discussion")+COUNTIFS('Clean Data'!$P$2:$P$1000,"Very low",'Clean Data'!$R$2:$R$1000,"Actively engaged")+COUNTIFS('Clean Data'!$P$2:$P$1000,"Very low",'Clean Data'!$R$2:$R$1000,"Contributed to discussion")</f>
        <v>0</v>
      </c>
      <c r="AD42" s="25">
        <f>COUNTIFS('Clean Data'!$P$2:$P$1000,"Low",'Clean Data'!$R$2:$R$1000,"Asked one question")+COUNTIFS('Clean Data'!$P$2:$P$1000,"Very low",'Clean Data'!$R$2:$R$1000,"Asked one question")</f>
        <v>10</v>
      </c>
      <c r="AE42" s="25">
        <f>COUNTIFS('Clean Data'!$P$2:$P$1000,"Low",'Clean Data'!$R$2:$R$1000,"Listened quietly")+COUNTIFS('Clean Data'!$P$2:$P$1000,"Very low",'Clean Data'!$R$2:$R$1000,"Listened quietly")</f>
        <v>24</v>
      </c>
      <c r="AF42" s="25">
        <f>COUNTIFS('Clean Data'!$P$2:$P$1000,"Low",'Clean Data'!$R$2:$R$1000,"Observed only")+COUNTIFS('Clean Data'!$P$2:$P$1000,"Very low",'Clean Data'!$R$2:$R$1000,"Observed only")</f>
        <v>30</v>
      </c>
      <c r="AG42" s="25">
        <f>SUM(AC42:AF42)</f>
        <v>64</v>
      </c>
      <c r="AH42" s="26">
        <f>IFERROR(AC42/AG42,0)</f>
        <v>0</v>
      </c>
    </row>
    <row r="43" spans="2:35" ht="21.75" customHeight="1" x14ac:dyDescent="0.35">
      <c r="B43" s="3" t="s">
        <v>371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35" x14ac:dyDescent="0.35">
      <c r="B44" s="2" t="s">
        <v>363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 t="s">
        <v>372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1" t="s">
        <v>373</v>
      </c>
      <c r="AC44" s="22"/>
      <c r="AD44" s="22"/>
      <c r="AE44" s="22"/>
    </row>
    <row r="45" spans="2:35" ht="27.75" customHeight="1" x14ac:dyDescent="0.35">
      <c r="B45" s="1" t="str">
        <f>"High/very high trust: "&amp;TEXT($AI$34,"0%")&amp;" of those who understood clearly vs "&amp;TEXT($AI$36,"0%")&amp;" of those with limited understanding"</f>
        <v>High/very high trust: 49% of those who understood clearly vs 7% of those with limited understanding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tr">
        <f>"Actively engaged or contributing: "&amp;TEXT($AH$40,"0%")&amp;" of high-trust vs "&amp;TEXT($AH$42,"0%")&amp;" of low-trust attendees"</f>
        <v>Actively engaged or contributing: 68% of high-trust vs 0% of low-trust attendees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B45" s="23"/>
      <c r="AC45" s="24" t="s">
        <v>34</v>
      </c>
      <c r="AD45" s="24" t="s">
        <v>80</v>
      </c>
      <c r="AE45" s="24" t="s">
        <v>374</v>
      </c>
    </row>
    <row r="46" spans="2:35" x14ac:dyDescent="0.35">
      <c r="AB46" s="25" t="s">
        <v>90</v>
      </c>
      <c r="AC46" s="25">
        <f>COUNTIFS('Clean Data'!$U$2:$U$1000,$AB46,'Clean Data'!$K$2:$K$1000,"Attended")</f>
        <v>31</v>
      </c>
      <c r="AD46" s="25">
        <f>COUNTIFS('Clean Data'!$U$2:$U$1000,$AB46,'Clean Data'!$K$2:$K$1000,"Did not attend")</f>
        <v>5</v>
      </c>
      <c r="AE46" s="25">
        <f t="shared" ref="AE46:AE54" si="0">AC46+AD46</f>
        <v>36</v>
      </c>
    </row>
    <row r="47" spans="2:35" x14ac:dyDescent="0.35">
      <c r="AB47" s="25" t="s">
        <v>60</v>
      </c>
      <c r="AC47" s="25">
        <f>COUNTIFS('Clean Data'!$U$2:$U$1000,$AB47,'Clean Data'!$K$2:$K$1000,"Attended")</f>
        <v>33</v>
      </c>
      <c r="AD47" s="25">
        <f>COUNTIFS('Clean Data'!$U$2:$U$1000,$AB47,'Clean Data'!$K$2:$K$1000,"Did not attend")</f>
        <v>0</v>
      </c>
      <c r="AE47" s="25">
        <f t="shared" si="0"/>
        <v>33</v>
      </c>
    </row>
    <row r="48" spans="2:35" x14ac:dyDescent="0.35">
      <c r="AB48" s="25" t="s">
        <v>97</v>
      </c>
      <c r="AC48" s="25">
        <f>COUNTIFS('Clean Data'!$U$2:$U$1000,$AB48,'Clean Data'!$K$2:$K$1000,"Attended")</f>
        <v>0</v>
      </c>
      <c r="AD48" s="25">
        <f>COUNTIFS('Clean Data'!$U$2:$U$1000,$AB48,'Clean Data'!$K$2:$K$1000,"Did not attend")</f>
        <v>32</v>
      </c>
      <c r="AE48" s="25">
        <f t="shared" si="0"/>
        <v>32</v>
      </c>
    </row>
    <row r="49" spans="2:32" x14ac:dyDescent="0.35">
      <c r="AB49" s="25" t="s">
        <v>41</v>
      </c>
      <c r="AC49" s="25">
        <f>COUNTIFS('Clean Data'!$U$2:$U$1000,$AB49,'Clean Data'!$K$2:$K$1000,"Attended")</f>
        <v>27</v>
      </c>
      <c r="AD49" s="25">
        <f>COUNTIFS('Clean Data'!$U$2:$U$1000,$AB49,'Clean Data'!$K$2:$K$1000,"Did not attend")</f>
        <v>0</v>
      </c>
      <c r="AE49" s="25">
        <f t="shared" si="0"/>
        <v>27</v>
      </c>
    </row>
    <row r="50" spans="2:32" x14ac:dyDescent="0.35">
      <c r="AB50" s="25" t="s">
        <v>110</v>
      </c>
      <c r="AC50" s="25">
        <f>COUNTIFS('Clean Data'!$U$2:$U$1000,$AB50,'Clean Data'!$K$2:$K$1000,"Attended")</f>
        <v>8</v>
      </c>
      <c r="AD50" s="25">
        <f>COUNTIFS('Clean Data'!$U$2:$U$1000,$AB50,'Clean Data'!$K$2:$K$1000,"Did not attend")</f>
        <v>9</v>
      </c>
      <c r="AE50" s="25">
        <f t="shared" si="0"/>
        <v>17</v>
      </c>
    </row>
    <row r="51" spans="2:32" x14ac:dyDescent="0.35">
      <c r="AB51" s="25" t="s">
        <v>121</v>
      </c>
      <c r="AC51" s="25">
        <f>COUNTIFS('Clean Data'!$U$2:$U$1000,$AB51,'Clean Data'!$K$2:$K$1000,"Attended")</f>
        <v>17</v>
      </c>
      <c r="AD51" s="25">
        <f>COUNTIFS('Clean Data'!$U$2:$U$1000,$AB51,'Clean Data'!$K$2:$K$1000,"Did not attend")</f>
        <v>0</v>
      </c>
      <c r="AE51" s="25">
        <f t="shared" si="0"/>
        <v>17</v>
      </c>
    </row>
    <row r="52" spans="2:32" x14ac:dyDescent="0.35">
      <c r="AB52" s="25" t="s">
        <v>147</v>
      </c>
      <c r="AC52" s="25">
        <f>COUNTIFS('Clean Data'!$U$2:$U$1000,$AB52,'Clean Data'!$K$2:$K$1000,"Attended")</f>
        <v>0</v>
      </c>
      <c r="AD52" s="25">
        <f>COUNTIFS('Clean Data'!$U$2:$U$1000,$AB52,'Clean Data'!$K$2:$K$1000,"Did not attend")</f>
        <v>14</v>
      </c>
      <c r="AE52" s="25">
        <f t="shared" si="0"/>
        <v>14</v>
      </c>
    </row>
    <row r="53" spans="2:32" x14ac:dyDescent="0.35">
      <c r="AB53" s="25" t="s">
        <v>168</v>
      </c>
      <c r="AC53" s="25">
        <f>COUNTIFS('Clean Data'!$U$2:$U$1000,$AB53,'Clean Data'!$K$2:$K$1000,"Attended")</f>
        <v>14</v>
      </c>
      <c r="AD53" s="25">
        <f>COUNTIFS('Clean Data'!$U$2:$U$1000,$AB53,'Clean Data'!$K$2:$K$1000,"Did not attend")</f>
        <v>0</v>
      </c>
      <c r="AE53" s="25">
        <f t="shared" si="0"/>
        <v>14</v>
      </c>
    </row>
    <row r="54" spans="2:32" x14ac:dyDescent="0.35">
      <c r="AB54" s="25" t="s">
        <v>83</v>
      </c>
      <c r="AC54" s="25">
        <f>COUNTIFS('Clean Data'!$U$2:$U$1000,$AB54,'Clean Data'!$K$2:$K$1000,"Attended")</f>
        <v>0</v>
      </c>
      <c r="AD54" s="25">
        <f>COUNTIFS('Clean Data'!$U$2:$U$1000,$AB54,'Clean Data'!$K$2:$K$1000,"Did not attend")</f>
        <v>10</v>
      </c>
      <c r="AE54" s="25">
        <f t="shared" si="0"/>
        <v>10</v>
      </c>
    </row>
    <row r="56" spans="2:32" x14ac:dyDescent="0.35">
      <c r="AB56" s="21" t="s">
        <v>375</v>
      </c>
      <c r="AC56" s="22"/>
      <c r="AD56" s="22"/>
      <c r="AE56" s="22"/>
      <c r="AF56" s="22"/>
    </row>
    <row r="57" spans="2:32" x14ac:dyDescent="0.35">
      <c r="AB57" s="23"/>
      <c r="AC57" s="24" t="s">
        <v>376</v>
      </c>
      <c r="AD57" s="24" t="s">
        <v>34</v>
      </c>
      <c r="AE57" s="24" t="s">
        <v>377</v>
      </c>
      <c r="AF57" s="24" t="s">
        <v>342</v>
      </c>
    </row>
    <row r="58" spans="2:32" x14ac:dyDescent="0.35">
      <c r="AB58" s="25" t="s">
        <v>57</v>
      </c>
      <c r="AC58" s="25" t="str">
        <f t="shared" ref="AC58:AC64" si="1">$AB58&amp;" (n="&amp;AE58&amp;")"</f>
        <v>Teacher/school contact (n=20)</v>
      </c>
      <c r="AD58" s="25">
        <f>COUNTIFS('Clean Data'!$J$2:$J$1000,"Teacher/school contact",'Clean Data'!$K$2:$K$1000,"Attended")</f>
        <v>19</v>
      </c>
      <c r="AE58" s="25">
        <f>COUNTIFS('Clean Data'!$J$2:$J$1000,"Teacher/school contact")</f>
        <v>20</v>
      </c>
      <c r="AF58" s="26">
        <f t="shared" ref="AF58:AF64" si="2">IFERROR(AD58/AE58,0)</f>
        <v>0.95</v>
      </c>
    </row>
    <row r="59" spans="2:32" x14ac:dyDescent="0.35">
      <c r="AB59" s="25" t="s">
        <v>49</v>
      </c>
      <c r="AC59" s="25" t="str">
        <f t="shared" si="1"/>
        <v>Family member (n=30)</v>
      </c>
      <c r="AD59" s="25">
        <f>COUNTIFS('Clean Data'!$J$2:$J$1000,"Family member",'Clean Data'!$K$2:$K$1000,"Attended")</f>
        <v>26</v>
      </c>
      <c r="AE59" s="25">
        <f>COUNTIFS('Clean Data'!$J$2:$J$1000,"Family member")</f>
        <v>30</v>
      </c>
      <c r="AF59" s="26">
        <f t="shared" si="2"/>
        <v>0.8666666666666667</v>
      </c>
    </row>
    <row r="60" spans="2:32" ht="21.75" customHeight="1" x14ac:dyDescent="0.35">
      <c r="B60" s="3" t="s">
        <v>378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AB60" s="25" t="s">
        <v>379</v>
      </c>
      <c r="AC60" s="25" t="str">
        <f t="shared" si="1"/>
        <v>Women’s group representative (n=13)</v>
      </c>
      <c r="AD60" s="25">
        <f>COUNTIFS('Clean Data'!$J$2:$J$1000,"Women*group representative",'Clean Data'!$K$2:$K$1000,"Attended")</f>
        <v>11</v>
      </c>
      <c r="AE60" s="25">
        <f>COUNTIFS('Clean Data'!$J$2:$J$1000,"Women*group representative")</f>
        <v>13</v>
      </c>
      <c r="AF60" s="26">
        <f t="shared" si="2"/>
        <v>0.84615384615384615</v>
      </c>
    </row>
    <row r="61" spans="2:32" x14ac:dyDescent="0.35">
      <c r="B61" s="2" t="s">
        <v>380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 t="s">
        <v>381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AB61" s="25" t="s">
        <v>33</v>
      </c>
      <c r="AC61" s="25" t="str">
        <f t="shared" si="1"/>
        <v>Village/community leader (n=29)</v>
      </c>
      <c r="AD61" s="25">
        <f>COUNTIFS('Clean Data'!$J$2:$J$1000,"Village/community leader",'Clean Data'!$K$2:$K$1000,"Attended")</f>
        <v>22</v>
      </c>
      <c r="AE61" s="25">
        <f>COUNTIFS('Clean Data'!$J$2:$J$1000,"Village/community leader")</f>
        <v>29</v>
      </c>
      <c r="AF61" s="26">
        <f t="shared" si="2"/>
        <v>0.75862068965517238</v>
      </c>
    </row>
    <row r="62" spans="2:32" ht="27.75" customHeight="1" x14ac:dyDescent="0.35">
      <c r="B62" s="1" t="str">
        <f>($AD$48+$AD$52+$AD$54)&amp;" of "&amp;COUNTIFS('Clean Data'!$K$2:$K$1000,"Did not attend")&amp;" non-attendees cited not hearing, too little information or purpose concerns"</f>
        <v>56 of 70 non-attendees cited not hearing, too little information or purpose concerns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 t="str">
        <f>"Invitations via "&amp;INDEX($AB$58:$AB$64,MATCH(MAX($AF$58:$AF$64),$AF$58:$AF$64,0))&amp;" converted "&amp;TEXT(MAX($AF$58:$AF$64),"0%")&amp;" vs "&amp;TEXT(MIN($AF$58:$AF$64),"0%")&amp;" via "&amp;INDEX($AB$58:$AB$64,MATCH(MIN($AF$58:$AF$64),$AF$58:$AF$64,0))</f>
        <v>Invitations via Teacher/school contact converted 95% vs 66% via Field team invitation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B62" s="25" t="s">
        <v>69</v>
      </c>
      <c r="AC62" s="25" t="str">
        <f t="shared" si="1"/>
        <v>Religious/community announcement (n=8)</v>
      </c>
      <c r="AD62" s="25">
        <f>COUNTIFS('Clean Data'!$J$2:$J$1000,"Religious/community announcement",'Clean Data'!$K$2:$K$1000,"Attended")</f>
        <v>6</v>
      </c>
      <c r="AE62" s="25">
        <f>COUNTIFS('Clean Data'!$J$2:$J$1000,"Religious/community announcement")</f>
        <v>8</v>
      </c>
      <c r="AF62" s="26">
        <f t="shared" si="2"/>
        <v>0.75</v>
      </c>
    </row>
    <row r="63" spans="2:32" x14ac:dyDescent="0.35">
      <c r="AB63" s="25" t="s">
        <v>92</v>
      </c>
      <c r="AC63" s="25" t="str">
        <f t="shared" si="1"/>
        <v>Friend/neighbour (n=39)</v>
      </c>
      <c r="AD63" s="25">
        <f>COUNTIFS('Clean Data'!$J$2:$J$1000,"Friend/neighbour",'Clean Data'!$K$2:$K$1000,"Attended")</f>
        <v>27</v>
      </c>
      <c r="AE63" s="25">
        <f>COUNTIFS('Clean Data'!$J$2:$J$1000,"Friend/neighbour")</f>
        <v>39</v>
      </c>
      <c r="AF63" s="26">
        <f t="shared" si="2"/>
        <v>0.69230769230769229</v>
      </c>
    </row>
    <row r="64" spans="2:32" x14ac:dyDescent="0.35">
      <c r="AB64" s="25" t="s">
        <v>79</v>
      </c>
      <c r="AC64" s="25" t="str">
        <f t="shared" si="1"/>
        <v>Field team invitation (n=29)</v>
      </c>
      <c r="AD64" s="25">
        <f>COUNTIFS('Clean Data'!$J$2:$J$1000,"Field team invitation",'Clean Data'!$K$2:$K$1000,"Attended")</f>
        <v>19</v>
      </c>
      <c r="AE64" s="25">
        <f>COUNTIFS('Clean Data'!$J$2:$J$1000,"Field team invitation")</f>
        <v>29</v>
      </c>
      <c r="AF64" s="26">
        <f t="shared" si="2"/>
        <v>0.65517241379310343</v>
      </c>
    </row>
    <row r="66" spans="2:30" x14ac:dyDescent="0.35">
      <c r="AB66" s="21" t="s">
        <v>382</v>
      </c>
      <c r="AC66" s="22"/>
      <c r="AD66" s="22"/>
    </row>
    <row r="67" spans="2:30" x14ac:dyDescent="0.35">
      <c r="AB67" s="23"/>
      <c r="AC67" s="24" t="s">
        <v>383</v>
      </c>
      <c r="AD67" s="24" t="s">
        <v>384</v>
      </c>
    </row>
    <row r="68" spans="2:30" x14ac:dyDescent="0.35">
      <c r="AB68" s="25" t="s">
        <v>42</v>
      </c>
      <c r="AC68" s="25">
        <f>COUNTIFS('Clean Data'!$V$2:$V$1000,"Local-language community meeting")</f>
        <v>67</v>
      </c>
      <c r="AD68" s="26">
        <f>AC68/COUNTA('Clean Data'!$A$2:$A$1000)</f>
        <v>0.33500000000000002</v>
      </c>
    </row>
    <row r="69" spans="2:30" x14ac:dyDescent="0.35">
      <c r="AB69" s="25" t="s">
        <v>385</v>
      </c>
      <c r="AC69" s="25">
        <f>COUNTIFS('Clean Data'!$V$2:$V$1000,"Women*group meeting")</f>
        <v>59</v>
      </c>
      <c r="AD69" s="26">
        <f>AC69/COUNTA('Clean Data'!$A$2:$A$1000)</f>
        <v>0.29499999999999998</v>
      </c>
    </row>
    <row r="70" spans="2:30" x14ac:dyDescent="0.35">
      <c r="AB70" s="25" t="s">
        <v>98</v>
      </c>
      <c r="AC70" s="25">
        <f>COUNTIFS('Clean Data'!$V$2:$V$1000,"School-based session")</f>
        <v>34</v>
      </c>
      <c r="AD70" s="26">
        <f>AC70/COUNTA('Clean Data'!$A$2:$A$1000)</f>
        <v>0.17</v>
      </c>
    </row>
    <row r="71" spans="2:30" x14ac:dyDescent="0.35">
      <c r="AB71" s="25" t="s">
        <v>114</v>
      </c>
      <c r="AC71" s="25">
        <f>COUNTIFS('Clean Data'!$V$2:$V$1000,"Home/compound visit")</f>
        <v>24</v>
      </c>
      <c r="AD71" s="26">
        <f>AC71/COUNTA('Clean Data'!$A$2:$A$1000)</f>
        <v>0.12</v>
      </c>
    </row>
    <row r="72" spans="2:30" x14ac:dyDescent="0.35">
      <c r="AB72" s="25" t="s">
        <v>132</v>
      </c>
      <c r="AC72" s="25">
        <f>COUNTIFS('Clean Data'!$V$2:$V$1000,"Radio announcement")</f>
        <v>16</v>
      </c>
      <c r="AD72" s="26">
        <f>AC72/COUNTA('Clean Data'!$A$2:$A$1000)</f>
        <v>0.08</v>
      </c>
    </row>
    <row r="74" spans="2:30" x14ac:dyDescent="0.35">
      <c r="AB74" s="21" t="s">
        <v>386</v>
      </c>
      <c r="AC74" s="22"/>
      <c r="AD74" s="22"/>
    </row>
    <row r="75" spans="2:30" x14ac:dyDescent="0.35">
      <c r="AB75" s="23"/>
      <c r="AC75" s="24" t="s">
        <v>383</v>
      </c>
      <c r="AD75" s="24" t="s">
        <v>384</v>
      </c>
    </row>
    <row r="76" spans="2:30" x14ac:dyDescent="0.35">
      <c r="AB76" s="25" t="s">
        <v>32</v>
      </c>
      <c r="AC76" s="25">
        <f>COUNTIFS('Clean Data'!$W$2:$W$1000,$AB76)</f>
        <v>63</v>
      </c>
      <c r="AD76" s="26">
        <f>AC76/COUNTA('Clean Data'!$A$2:$A$1000)</f>
        <v>0.315</v>
      </c>
    </row>
    <row r="77" spans="2:30" x14ac:dyDescent="0.35">
      <c r="AB77" s="25" t="s">
        <v>75</v>
      </c>
      <c r="AC77" s="25">
        <f>COUNTIFS('Clean Data'!$W$2:$W$1000,$AB77)</f>
        <v>62</v>
      </c>
      <c r="AD77" s="26">
        <f>AC77/COUNTA('Clean Data'!$A$2:$A$1000)</f>
        <v>0.31</v>
      </c>
    </row>
    <row r="78" spans="2:30" x14ac:dyDescent="0.35">
      <c r="AB78" s="25" t="s">
        <v>74</v>
      </c>
      <c r="AC78" s="25">
        <f>COUNTIFS('Clean Data'!$W$2:$W$1000,$AB78)</f>
        <v>75</v>
      </c>
      <c r="AD78" s="26">
        <f>AC78/COUNTA('Clean Data'!$A$2:$A$1000)</f>
        <v>0.375</v>
      </c>
    </row>
    <row r="79" spans="2:30" ht="21.75" customHeight="1" x14ac:dyDescent="0.35">
      <c r="B79" s="3" t="s">
        <v>387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30" x14ac:dyDescent="0.35">
      <c r="B80" s="2" t="s">
        <v>388</v>
      </c>
      <c r="C80" s="2"/>
      <c r="D80" s="2"/>
      <c r="E80" s="2"/>
      <c r="F80" s="2"/>
      <c r="G80" s="2"/>
      <c r="H80" s="2"/>
      <c r="I80" s="2"/>
      <c r="J80" s="2" t="s">
        <v>389</v>
      </c>
      <c r="K80" s="2"/>
      <c r="L80" s="2"/>
      <c r="M80" s="2"/>
      <c r="N80" s="2"/>
      <c r="O80" s="2"/>
      <c r="P80" s="2"/>
      <c r="Q80" s="2"/>
      <c r="R80" s="2" t="s">
        <v>390</v>
      </c>
      <c r="S80" s="2"/>
      <c r="T80" s="2"/>
      <c r="U80" s="2"/>
      <c r="V80" s="2"/>
      <c r="W80" s="2"/>
      <c r="X80" s="2"/>
      <c r="Y80" s="2"/>
      <c r="AB80" s="21" t="s">
        <v>391</v>
      </c>
      <c r="AC80" s="22"/>
    </row>
    <row r="81" spans="2:30" ht="39.75" customHeight="1" x14ac:dyDescent="0.35">
      <c r="B81" s="1" t="str">
        <f>"Top two: "&amp;INDEX($AB$68:$AB$72,MATCH(LARGE($AC$68:$AC$72,1),$AC$68:$AC$72,0))&amp;" ("&amp;TEXT(LARGE($AD$68:$AD$72,1),"0%")&amp;") and "&amp;INDEX($AB$68:$AB$72,MATCH(LARGE($AC$68:$AC$72,2),$AC$68:$AC$72,0))&amp;" ("&amp;TEXT(LARGE($AD$68:$AD$72,2),"0%")&amp;")"</f>
        <v>Top two: Local-language community meeting (34%) and Women’s group meeting (30%)</v>
      </c>
      <c r="C81" s="1"/>
      <c r="D81" s="1"/>
      <c r="E81" s="1"/>
      <c r="F81" s="1"/>
      <c r="G81" s="1"/>
      <c r="H81" s="1"/>
      <c r="I81" s="1"/>
      <c r="J81" s="1" t="str">
        <f>"Only "&amp;TEXT($AD$76,"0%")&amp;" say yes; "&amp;TEXT($AD$77,"0%")&amp;" are undecided: trust must be rebuilt first"</f>
        <v>Only 32% say yes; 31% are undecided: trust must be rebuilt first</v>
      </c>
      <c r="K81" s="1"/>
      <c r="L81" s="1"/>
      <c r="M81" s="1"/>
      <c r="N81" s="1"/>
      <c r="O81" s="1"/>
      <c r="P81" s="1"/>
      <c r="Q81" s="1"/>
      <c r="R81" s="1" t="str">
        <f>"Lowest satisfaction: "&amp;INDEX($AB$82:$AB$85,MATCH(MIN($AC$82:$AC$85),$AC$82:$AC$85,0))&amp;" ("&amp;TEXT(MIN($AC$82:$AC$85),"0.0")&amp;" out of 5)"</f>
        <v>Lowest satisfaction: Community stakeholder (1.6 out of 5)</v>
      </c>
      <c r="S81" s="1"/>
      <c r="T81" s="1"/>
      <c r="U81" s="1"/>
      <c r="V81" s="1"/>
      <c r="W81" s="1"/>
      <c r="X81" s="1"/>
      <c r="Y81" s="1"/>
      <c r="AB81" s="23"/>
      <c r="AC81" s="24" t="s">
        <v>392</v>
      </c>
    </row>
    <row r="82" spans="2:30" x14ac:dyDescent="0.35">
      <c r="AB82" s="25" t="s">
        <v>48</v>
      </c>
      <c r="AC82" s="27">
        <f>IFERROR(AVERAGEIFS('Clean Data'!$T$2:$T$1000,'Clean Data'!$H$2:$H$1000,$AB82,'Clean Data'!$K$2:$K$1000,"Attended"),0)</f>
        <v>2.5762711864406778</v>
      </c>
    </row>
    <row r="83" spans="2:30" x14ac:dyDescent="0.35">
      <c r="AB83" s="25" t="s">
        <v>107</v>
      </c>
      <c r="AC83" s="27">
        <f>IFERROR(AVERAGEIFS('Clean Data'!$T$2:$T$1000,'Clean Data'!$H$2:$H$1000,$AB83,'Clean Data'!$K$2:$K$1000,"Attended"),0)</f>
        <v>2.7407407407407409</v>
      </c>
    </row>
    <row r="84" spans="2:30" x14ac:dyDescent="0.35">
      <c r="AB84" s="25" t="s">
        <v>31</v>
      </c>
      <c r="AC84" s="27">
        <f>IFERROR(AVERAGEIFS('Clean Data'!$T$2:$T$1000,'Clean Data'!$H$2:$H$1000,$AB84,'Clean Data'!$K$2:$K$1000,"Attended"),0)</f>
        <v>2.4594594594594597</v>
      </c>
    </row>
    <row r="85" spans="2:30" x14ac:dyDescent="0.35">
      <c r="AB85" s="25" t="s">
        <v>119</v>
      </c>
      <c r="AC85" s="27">
        <f>IFERROR(AVERAGEIFS('Clean Data'!$T$2:$T$1000,'Clean Data'!$H$2:$H$1000,$AB85,'Clean Data'!$K$2:$K$1000,"Attended"),0)</f>
        <v>1.5714285714285714</v>
      </c>
    </row>
    <row r="87" spans="2:30" x14ac:dyDescent="0.35">
      <c r="AB87" s="21" t="s">
        <v>393</v>
      </c>
      <c r="AC87" s="22"/>
    </row>
    <row r="88" spans="2:30" x14ac:dyDescent="0.35">
      <c r="AB88" s="23"/>
      <c r="AC88" s="24" t="s">
        <v>392</v>
      </c>
    </row>
    <row r="89" spans="2:30" x14ac:dyDescent="0.35">
      <c r="AB89" s="25" t="s">
        <v>36</v>
      </c>
      <c r="AC89" s="27">
        <f>IFERROR(AVERAGEIFS('Clean Data'!$T$2:$T$1000,'Clean Data'!$N$2:$N$1000,$AB89),0)</f>
        <v>3.2432432432432434</v>
      </c>
    </row>
    <row r="90" spans="2:30" x14ac:dyDescent="0.35">
      <c r="AB90" s="25" t="s">
        <v>88</v>
      </c>
      <c r="AC90" s="27">
        <f>IFERROR(AVERAGEIFS('Clean Data'!$T$2:$T$1000,'Clean Data'!$N$2:$N$1000,$AB90),0)</f>
        <v>2.5238095238095237</v>
      </c>
    </row>
    <row r="91" spans="2:30" x14ac:dyDescent="0.35">
      <c r="AB91" s="25" t="s">
        <v>93</v>
      </c>
      <c r="AC91" s="27">
        <f>IFERROR(AVERAGEIFS('Clean Data'!$T$2:$T$1000,'Clean Data'!$N$2:$N$1000,$AB91),0)</f>
        <v>1.6333333333333333</v>
      </c>
    </row>
    <row r="93" spans="2:30" x14ac:dyDescent="0.35">
      <c r="AB93" s="21" t="s">
        <v>394</v>
      </c>
      <c r="AC93" s="22"/>
      <c r="AD93" s="22"/>
    </row>
    <row r="94" spans="2:30" x14ac:dyDescent="0.35">
      <c r="AB94" s="23"/>
      <c r="AC94" s="24" t="s">
        <v>32</v>
      </c>
      <c r="AD94" s="24" t="s">
        <v>395</v>
      </c>
    </row>
    <row r="95" spans="2:30" x14ac:dyDescent="0.35">
      <c r="AB95" s="25" t="s">
        <v>36</v>
      </c>
      <c r="AC95" s="25">
        <f>COUNTIFS('Clean Data'!$N$2:$N$1000,$AB95,'Clean Data'!$W$2:$W$1000,"Yes")</f>
        <v>30</v>
      </c>
      <c r="AD95" s="26">
        <f>IFERROR(AC95/COUNTIFS('Clean Data'!$N$2:$N$1000,$AB95),0)</f>
        <v>0.81081081081081086</v>
      </c>
    </row>
    <row r="96" spans="2:30" ht="21.75" customHeight="1" x14ac:dyDescent="0.35">
      <c r="B96" s="3" t="s">
        <v>396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B96" s="25" t="s">
        <v>88</v>
      </c>
      <c r="AC96" s="25">
        <f>COUNTIFS('Clean Data'!$N$2:$N$1000,$AB96,'Clean Data'!$W$2:$W$1000,"Yes")</f>
        <v>13</v>
      </c>
      <c r="AD96" s="26">
        <f>IFERROR(AC96/COUNTIFS('Clean Data'!$N$2:$N$1000,$AB96),0)</f>
        <v>0.20634920634920634</v>
      </c>
    </row>
    <row r="97" spans="2:30" ht="30" customHeight="1" x14ac:dyDescent="0.35">
      <c r="B97" s="28" t="str">
        <f>"1.  Reach was largely a communication problem: "&amp;$AD$48&amp;" women never heard of the outreach, and "&amp;TEXT(($AD$48+$AD$52+$AD$54)/COUNTIFS('Clean Data'!$K$2:$K$1000,"Did not attend"),"0%")&amp;" of non-attendees cited awareness, information or purpose concerns."</f>
        <v>1.  Reach was largely a communication problem: 32 women never heard of the outreach, and 80% of non-attendees cited awareness, information or purpose concerns.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AB97" s="25" t="s">
        <v>93</v>
      </c>
      <c r="AC97" s="25">
        <f>COUNTIFS('Clean Data'!$N$2:$N$1000,$AB97,'Clean Data'!$W$2:$W$1000,"Yes")</f>
        <v>0</v>
      </c>
      <c r="AD97" s="26">
        <f>IFERROR(AC97/COUNTIFS('Clean Data'!$N$2:$N$1000,$AB97),0)</f>
        <v>0</v>
      </c>
    </row>
    <row r="98" spans="2:30" ht="30" customHeight="1" x14ac:dyDescent="0.35">
      <c r="B98" s="28" t="str">
        <f>"2.  Language decided understanding: no attendee without English proficiency understood the programme clearly ("&amp;$AC$19&amp;" of "&amp;$AF$19&amp;"), versus "&amp;TEXT($AG$22,"0%")&amp;" of fluent speakers. A local-language interpreter or facilitator is essential."</f>
        <v>2.  Language decided understanding: no attendee without English proficiency understood the programme clearly (0 of 49), versus 93% of fluent speakers. A local-language interpreter or facilitator is essential.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2:30" ht="30" customHeight="1" x14ac:dyDescent="0.35">
      <c r="B99" s="28" t="str">
        <f>"3.  The purpose was misread: only "&amp;TEXT($AD$26,"0%")&amp;" of attendees described it correctly and "&amp;TEXT($AD$30,"0%")&amp;" suspected outside influence, which is the root of the 'brainwashing' fear."</f>
        <v>3.  The purpose was misread: only 28% of attendees described it correctly and 28% suspected outside influence, which is the root of the 'brainwashing' fear.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2:30" ht="30" customHeight="1" x14ac:dyDescent="0.35">
      <c r="B100" s="28" t="str">
        <f>"4.  Understanding builds trust and return: "&amp;TEXT($AI$34,"0%")&amp;" of clear-understanding attendees have high trust vs "&amp;TEXT($AI$36,"0%")&amp;" of limited-understanding; "&amp;TEXT($AD$95,"0%")&amp;" of the former would return vs "&amp;TEXT($AD$97,"0%")&amp;" of the latter (satisfaction "&amp;TEXT($AC$89,"0.0")&amp;" vs "&amp;TEXT($AC$91,"0.0")&amp;")."</f>
        <v>4.  Understanding builds trust and return: 49% of clear-understanding attendees have high trust vs 7% of limited-understanding; 81% of the former would return vs 0% of the latter (satisfaction 3.2 vs 1.6).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2:30" ht="30" customHeight="1" x14ac:dyDescent="0.35">
      <c r="B101" s="28" t="str">
        <f>"5.  Trusted messengers work: invitations via "&amp;INDEX($AB$58:$AB$64,MATCH(MAX($AF$58:$AF$64),$AF$58:$AF$64,0))&amp;" converted "&amp;TEXT(MAX($AF$58:$AF$64),"0%")&amp;" vs "&amp;TEXT(MIN($AF$58:$AF$64),"0%")&amp;" for "&amp;INDEX($AB$58:$AB$64,MATCH(MIN($AF$58:$AF$64),$AF$58:$AF$64,0))&amp;". Engage elders, teachers and women's group leaders before the event."</f>
        <v>5.  Trusted messengers work: invitations via Teacher/school contact converted 95% vs 66% for Field team invitation. Engage elders, teachers and women's group leaders before the event.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2:30" ht="30" customHeight="1" x14ac:dyDescent="0.35">
      <c r="B102" s="28" t="str">
        <f>"6.  Return in the right format: the community prefers "&amp;INDEX($AB$68:$AB$72,MATCH(LARGE($AC$68:$AC$72,1),$AC$68:$AC$72,0))&amp;" and "&amp;INDEX($AB$68:$AB$72,MATCH(LARGE($AC$68:$AC$72,2),$AC$68:$AC$72,0))&amp;". Only "&amp;TEXT($AD$76,"0%")&amp;" would definitely attend a follow-up, so rebuild trust before scheduling it."</f>
        <v>6.  Return in the right format: the community prefers Local-language community meeting and Women’s group meeting. Only 32% would definitely attend a follow-up, so rebuild trust before scheduling it.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4" spans="2:30" ht="24" customHeight="1" x14ac:dyDescent="0.35">
      <c r="B104" s="29" t="s">
        <v>397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</sheetData>
  <mergeCells count="55">
    <mergeCell ref="B101:Y101"/>
    <mergeCell ref="B102:Y102"/>
    <mergeCell ref="B104:Y104"/>
    <mergeCell ref="B96:Y96"/>
    <mergeCell ref="B97:Y97"/>
    <mergeCell ref="B98:Y98"/>
    <mergeCell ref="B99:Y99"/>
    <mergeCell ref="B100:Y100"/>
    <mergeCell ref="B79:Y79"/>
    <mergeCell ref="B80:I80"/>
    <mergeCell ref="J80:Q80"/>
    <mergeCell ref="R80:Y80"/>
    <mergeCell ref="B81:I81"/>
    <mergeCell ref="J81:Q81"/>
    <mergeCell ref="R81:Y81"/>
    <mergeCell ref="B60:Y60"/>
    <mergeCell ref="B61:M61"/>
    <mergeCell ref="N61:Y61"/>
    <mergeCell ref="B62:M62"/>
    <mergeCell ref="N62:Y62"/>
    <mergeCell ref="B43:Y43"/>
    <mergeCell ref="B44:M44"/>
    <mergeCell ref="N44:Y44"/>
    <mergeCell ref="B45:M45"/>
    <mergeCell ref="N45:Y45"/>
    <mergeCell ref="B26:Y26"/>
    <mergeCell ref="B27:M27"/>
    <mergeCell ref="N27:Y27"/>
    <mergeCell ref="B28:M28"/>
    <mergeCell ref="N28:Y28"/>
    <mergeCell ref="B9:Y9"/>
    <mergeCell ref="B10:M10"/>
    <mergeCell ref="N10:Y10"/>
    <mergeCell ref="B11:M11"/>
    <mergeCell ref="N11:Y11"/>
    <mergeCell ref="V5:Y6"/>
    <mergeCell ref="B7:E7"/>
    <mergeCell ref="F7:I7"/>
    <mergeCell ref="J7:M7"/>
    <mergeCell ref="N7:Q7"/>
    <mergeCell ref="R7:U7"/>
    <mergeCell ref="V7:Y7"/>
    <mergeCell ref="B5:E6"/>
    <mergeCell ref="F5:I6"/>
    <mergeCell ref="J5:M6"/>
    <mergeCell ref="N5:Q6"/>
    <mergeCell ref="R5:U6"/>
    <mergeCell ref="B1:Y1"/>
    <mergeCell ref="B2:Y2"/>
    <mergeCell ref="B4:E4"/>
    <mergeCell ref="F4:I4"/>
    <mergeCell ref="J4:M4"/>
    <mergeCell ref="N4:Q4"/>
    <mergeCell ref="R4:U4"/>
    <mergeCell ref="V4:Y4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155CC"/>
  </sheetPr>
  <dimension ref="A1"/>
  <sheetViews>
    <sheetView zoomScaleNormal="100" workbookViewId="0"/>
  </sheetViews>
  <sheetFormatPr defaultColWidth="14.453125" defaultRowHeight="14.5" x14ac:dyDescent="0.3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aderyn_impact_outreach_dataset</vt:lpstr>
      <vt:lpstr>Clean Data</vt:lpstr>
      <vt:lpstr>Analysis</vt:lpstr>
      <vt:lpstr>Dashboard</vt:lpstr>
      <vt:lpstr>Recommendations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</cp:revision>
  <dcterms:created xsi:type="dcterms:W3CDTF">2026-10-05T16:10:53Z</dcterms:created>
  <dcterms:modified xsi:type="dcterms:W3CDTF">2026-10-07T17:08:27Z</dcterms:modified>
  <dc:language>en-US</dc:language>
</cp:coreProperties>
</file>